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526" documentId="11_C21178BD02E833A07B7B83C7237FD203F64020EA" xr6:coauthVersionLast="47" xr6:coauthVersionMax="47" xr10:uidLastSave="{B9C61226-13ED-4C3A-BB00-1E13A26A2030}"/>
  <bookViews>
    <workbookView xWindow="0" yWindow="0" windowWidth="0" windowHeight="0" firstSheet="4" xr2:uid="{00000000-000D-0000-FFFF-FFFF00000000}"/>
  </bookViews>
  <sheets>
    <sheet name="Empresa Alpha" sheetId="1" r:id="rId1"/>
    <sheet name="Empresa Beta" sheetId="2" r:id="rId2"/>
    <sheet name="Empresa Gamma" sheetId="3" r:id="rId3"/>
    <sheet name="Empresa Delta" sheetId="4" r:id="rId4"/>
    <sheet name="Gráficos" sheetId="6" r:id="rId5"/>
    <sheet name="Som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C6" i="6"/>
  <c r="D6" i="6"/>
  <c r="E2" i="4"/>
  <c r="E2" i="3"/>
  <c r="E2" i="2"/>
  <c r="E2" i="1"/>
  <c r="F2" i="1"/>
  <c r="G2" i="1"/>
  <c r="C6" i="5"/>
  <c r="G2" i="4"/>
  <c r="F2" i="4"/>
  <c r="G2" i="3"/>
  <c r="F2" i="3"/>
  <c r="F2" i="2"/>
  <c r="G2" i="2"/>
  <c r="B6" i="5"/>
</calcChain>
</file>

<file path=xl/sharedStrings.xml><?xml version="1.0" encoding="utf-8"?>
<sst xmlns="http://schemas.openxmlformats.org/spreadsheetml/2006/main" count="1476" uniqueCount="1027">
  <si>
    <t>Nome Fantasia:</t>
  </si>
  <si>
    <t>Alpha Tecnologia LTDA</t>
  </si>
  <si>
    <t>Total Usuários</t>
  </si>
  <si>
    <t>Total "Exposto"</t>
  </si>
  <si>
    <t>Total "OK"</t>
  </si>
  <si>
    <t>CNPJ:</t>
  </si>
  <si>
    <t>12.345.678/0001-90</t>
  </si>
  <si>
    <t>Nome</t>
  </si>
  <si>
    <t>Sobrenome</t>
  </si>
  <si>
    <t>CPF</t>
  </si>
  <si>
    <t>Endereço</t>
  </si>
  <si>
    <t>E-mail</t>
  </si>
  <si>
    <t>Telefone</t>
  </si>
  <si>
    <t>Status</t>
  </si>
  <si>
    <t>Daniel</t>
  </si>
  <si>
    <t>Fernandes</t>
  </si>
  <si>
    <t>385.410.926-15</t>
  </si>
  <si>
    <t>Setor de da Cruz, 98, Conjunto Providencia, 82162-178 Duarte de Viana / MT</t>
  </si>
  <si>
    <t>ana-liviaazevedo@rezende.com</t>
  </si>
  <si>
    <t>(71) 95920-7450</t>
  </si>
  <si>
    <t>Exposto</t>
  </si>
  <si>
    <t>Murilo</t>
  </si>
  <si>
    <t>026.547.981-94</t>
  </si>
  <si>
    <t>Viela de Martins, 53, Vila Nova Cachoeirinha 3ª Seção, 71130325 Fernandes / PE</t>
  </si>
  <si>
    <t>xmelo@uol.com.br</t>
  </si>
  <si>
    <t>(89) 97969-1409</t>
  </si>
  <si>
    <t>OK</t>
  </si>
  <si>
    <t>Antônio</t>
  </si>
  <si>
    <t>Araújo</t>
  </si>
  <si>
    <t>258.630.719-40</t>
  </si>
  <si>
    <t>Viela de Pereira, 16, Ouro Minas, 24945847 Rodrigues / TO</t>
  </si>
  <si>
    <t>pda-rosa@vieira.br</t>
  </si>
  <si>
    <t>(53) 98333-5086</t>
  </si>
  <si>
    <t>Yasmin</t>
  </si>
  <si>
    <t>Nogueira</t>
  </si>
  <si>
    <t>910.834.627-50</t>
  </si>
  <si>
    <t>Colônia de Correia, 325, Vila Ipiranga, 82975-051 Campos / AP</t>
  </si>
  <si>
    <t>clarice51@gmail.com</t>
  </si>
  <si>
    <t>(45) 90725-0568</t>
  </si>
  <si>
    <t>Joaquim</t>
  </si>
  <si>
    <t>Nunes</t>
  </si>
  <si>
    <t>140.579.326-07</t>
  </si>
  <si>
    <t>Estação de Fernandes, 47, São Sebastião, 90237-815 Araújo / TO</t>
  </si>
  <si>
    <t>dlima@hotmail.com</t>
  </si>
  <si>
    <t>(34) 91094-8728</t>
  </si>
  <si>
    <t>Isis</t>
  </si>
  <si>
    <t>Moreira</t>
  </si>
  <si>
    <t>724.835.091-50</t>
  </si>
  <si>
    <t>Rua Gabriel da Mata, 37, Pantanal, 03776957 Viana / GO</t>
  </si>
  <si>
    <t>walmeida@gmail.com</t>
  </si>
  <si>
    <t>(49) 98885-6713</t>
  </si>
  <si>
    <t>Emanuelly</t>
  </si>
  <si>
    <t>Cavalcanti</t>
  </si>
  <si>
    <t>653.419.872-09</t>
  </si>
  <si>
    <t>Favela Renan Costela, Sport Club, 74916-695 Pires / RO</t>
  </si>
  <si>
    <t>lopesigor@gmail.com</t>
  </si>
  <si>
    <t>(19) 95863-2135</t>
  </si>
  <si>
    <t>Alexia</t>
  </si>
  <si>
    <t>da Conceição</t>
  </si>
  <si>
    <t>853.724.916-55</t>
  </si>
  <si>
    <t>Alameda Cauê Souza, 2, Mirante, 81766-820 Farias / ES</t>
  </si>
  <si>
    <t>nascimentocarlos-eduardo@ig.com.br</t>
  </si>
  <si>
    <t>(73) 91997-0177</t>
  </si>
  <si>
    <t>Clara</t>
  </si>
  <si>
    <t>Silva</t>
  </si>
  <si>
    <t>031.985.467-10</t>
  </si>
  <si>
    <t>Trevo da Cruz, 113, Vila Real 1ª Seção, 44515-532 Pinto Paulista / MS</t>
  </si>
  <si>
    <t>manuelasantos@carvalho.br</t>
  </si>
  <si>
    <t>(12) 98522-9606</t>
  </si>
  <si>
    <t>Pedro</t>
  </si>
  <si>
    <t>246.903.158-33</t>
  </si>
  <si>
    <t>Vila Costa, 1, Comiteco, 23340012 Barbosa de Minas / AM</t>
  </si>
  <si>
    <t>freitasthiago@gmail.com</t>
  </si>
  <si>
    <t>(33) 90843-1298</t>
  </si>
  <si>
    <t>Kaique</t>
  </si>
  <si>
    <t>Cunha</t>
  </si>
  <si>
    <t>460.928.713-78</t>
  </si>
  <si>
    <t>Praia Marcelo Rezende, 1, Graça, 31677-090 Aragão das Flores / PR</t>
  </si>
  <si>
    <t>brocha@nogueira.org</t>
  </si>
  <si>
    <t>(54) 90097-8930</t>
  </si>
  <si>
    <t>Lopes</t>
  </si>
  <si>
    <t>983.604.152-42</t>
  </si>
  <si>
    <t>Área de Nascimento, 6, Dona Clara, 02689-332 Barros Grande / AL</t>
  </si>
  <si>
    <t>vvieira@bol.com.br</t>
  </si>
  <si>
    <t>(38) 92072-8561</t>
  </si>
  <si>
    <t>013.598.627-30</t>
  </si>
  <si>
    <t>Chácara Rodrigo Moraes, 2, Aparecida, 91473521 Cunha de Goiás / PI</t>
  </si>
  <si>
    <t>maria-cecilia48@cardoso.net</t>
  </si>
  <si>
    <t>(18) 92025-2628</t>
  </si>
  <si>
    <t>Ana Lívia</t>
  </si>
  <si>
    <t>Duarte</t>
  </si>
  <si>
    <t>317.540.968-75</t>
  </si>
  <si>
    <t>Estação Cavalcanti, 51, Braúnas, 16113-684 Sales do Galho / MG</t>
  </si>
  <si>
    <t>lsantos@ig.com.br</t>
  </si>
  <si>
    <t>(84) 97592-7515</t>
  </si>
  <si>
    <t>Ana Julia</t>
  </si>
  <si>
    <t>653.274.180-90</t>
  </si>
  <si>
    <t>Largo de da Mota, 920, Pongelupe, 43981-222 Teixeira / SC</t>
  </si>
  <si>
    <t>erick72@nunes.com</t>
  </si>
  <si>
    <t>(13) 96981-0223</t>
  </si>
  <si>
    <t>Ana Luiza</t>
  </si>
  <si>
    <t>Vieira</t>
  </si>
  <si>
    <t>148.362.570-26</t>
  </si>
  <si>
    <t>Chácara Nathan Gomes, 7, Vila Satélite, 93315937 Rodrigues de Ramos / BA</t>
  </si>
  <si>
    <t>rezendelaura@fogaca.com</t>
  </si>
  <si>
    <t>(11) 97781-9717</t>
  </si>
  <si>
    <t>Juan</t>
  </si>
  <si>
    <t>478.109.362-04</t>
  </si>
  <si>
    <t>Quadra Pereira, 41, Conjunto Providencia, 63682444 Santos / RN</t>
  </si>
  <si>
    <t>julianamendes@bol.com.br</t>
  </si>
  <si>
    <t>(17) 96633-7840</t>
  </si>
  <si>
    <t>Vitória</t>
  </si>
  <si>
    <t>195.642.307-99</t>
  </si>
  <si>
    <t>Praça Martins, 59, Jaraguá, 87283338 da Mata / PI</t>
  </si>
  <si>
    <t>kmoura@gmail.com</t>
  </si>
  <si>
    <t>(43) 94196-1008</t>
  </si>
  <si>
    <t>João Gabriel</t>
  </si>
  <si>
    <t>Gomes</t>
  </si>
  <si>
    <t>823.719.560-40</t>
  </si>
  <si>
    <t>Quadra Pires, 21, Funcionários, 98544507 Cardoso / TO</t>
  </si>
  <si>
    <t>zsilva@yahoo.com.br</t>
  </si>
  <si>
    <t>(11) 94898-0363</t>
  </si>
  <si>
    <t>Enzo Gabriel</t>
  </si>
  <si>
    <t>Gonçalves</t>
  </si>
  <si>
    <t>480.257.396-00</t>
  </si>
  <si>
    <t>Praça Dias, 831, Senhor Dos Passos, 76465097 Fernandes / PR</t>
  </si>
  <si>
    <t>ubarbosa@jesus.com</t>
  </si>
  <si>
    <t>(32) 97860-9469</t>
  </si>
  <si>
    <t>Jesus</t>
  </si>
  <si>
    <t>172.536.809-95</t>
  </si>
  <si>
    <t>Alameda de Lopes, 15, Olhos D'água, 28714-001 da Costa / GO</t>
  </si>
  <si>
    <t>obarbosa@nogueira.org</t>
  </si>
  <si>
    <t>(63) 91097-1859</t>
  </si>
  <si>
    <t>Bernardo</t>
  </si>
  <si>
    <t>Novaes</t>
  </si>
  <si>
    <t>432.678.915-82</t>
  </si>
  <si>
    <t>Trevo Viana, 77, Vitoria Da Conquista, 50044027 Melo das Pedras / PI</t>
  </si>
  <si>
    <t>maria22@yahoo.com.br</t>
  </si>
  <si>
    <t>(99) 98038-0079</t>
  </si>
  <si>
    <t>André</t>
  </si>
  <si>
    <t>Porto</t>
  </si>
  <si>
    <t>847.096.135-75</t>
  </si>
  <si>
    <t>Loteamento Breno Ribeiro, 152, Túnel De Ibirité, 05063994 da Mata da Mata / PI</t>
  </si>
  <si>
    <t>marianecastro@porto.com</t>
  </si>
  <si>
    <t>(37) 93874-7293</t>
  </si>
  <si>
    <t>Emanuel</t>
  </si>
  <si>
    <t>da Costa</t>
  </si>
  <si>
    <t>042.716.538-53</t>
  </si>
  <si>
    <t>Chácara Maria Eduarda Vieira, 7, Palmeiras, 04351-678 Almeida / MT</t>
  </si>
  <si>
    <t>vnogueira@gmail.com</t>
  </si>
  <si>
    <t>(82) 92282-5665</t>
  </si>
  <si>
    <t>Luiz Fernando</t>
  </si>
  <si>
    <t>Freitas</t>
  </si>
  <si>
    <t>956.074.831-93</t>
  </si>
  <si>
    <t>Vila de Cardoso, 982, Vila Da Ária, 69421-409 Nascimento / MA</t>
  </si>
  <si>
    <t>alana52@moreira.br</t>
  </si>
  <si>
    <t>(35) 95231-9154</t>
  </si>
  <si>
    <t>Marina</t>
  </si>
  <si>
    <t>536.092.418-70</t>
  </si>
  <si>
    <t>Rodovia Moura, 88, Grotinha, 98765-023 Correia / TO</t>
  </si>
  <si>
    <t>fnascimento@yahoo.com.br</t>
  </si>
  <si>
    <t>(15) 99266-0594</t>
  </si>
  <si>
    <t>Bianca</t>
  </si>
  <si>
    <t>Moura</t>
  </si>
  <si>
    <t>764.580.231-62</t>
  </si>
  <si>
    <t>Sítio de Lopes, Xangri-Lá, 75568-803 Mendes / RO</t>
  </si>
  <si>
    <t>da-matalivia@uol.com.br</t>
  </si>
  <si>
    <t>(64) 92952-6382</t>
  </si>
  <si>
    <t>Diogo</t>
  </si>
  <si>
    <t>419.087.352-79</t>
  </si>
  <si>
    <t>Vereda Teixeira, 644, Vila Califórnia, 21694221 da Paz do Campo / GO</t>
  </si>
  <si>
    <t>fernandesmarcos-vinicius@bol.com.br</t>
  </si>
  <si>
    <t>(55) 92514-0424</t>
  </si>
  <si>
    <t>Diego</t>
  </si>
  <si>
    <t>Santos</t>
  </si>
  <si>
    <t>251.369.704-99</t>
  </si>
  <si>
    <t>Rodovia da Conceição, 14, Camponesa 2ª Seção, 39285-041 Dias do Oeste / MT</t>
  </si>
  <si>
    <t>danielfreitas@fogaca.com</t>
  </si>
  <si>
    <t>(21) 92518-7119</t>
  </si>
  <si>
    <t>Mirella</t>
  </si>
  <si>
    <t>816.745.309-00</t>
  </si>
  <si>
    <t>Feira Eloah Cavalcanti, 9, Comiteco, 75824-420 Silva da Praia / AM</t>
  </si>
  <si>
    <t>ecorreia@hotmail.com</t>
  </si>
  <si>
    <t>(27) 90620-0886</t>
  </si>
  <si>
    <t>Bruna</t>
  </si>
  <si>
    <t>Teixeira</t>
  </si>
  <si>
    <t>435.860.219-33</t>
  </si>
  <si>
    <t>Residencial de da Cunha, 895, Cônego Pinheiro 1ª Seção, 10696891 Almeida / PR</t>
  </si>
  <si>
    <t>davicardoso@uol.com.br</t>
  </si>
  <si>
    <t>(31) 94315-1709</t>
  </si>
  <si>
    <t>Luiz Felipe</t>
  </si>
  <si>
    <t>269.037.148-04</t>
  </si>
  <si>
    <t>Trevo Maria Alice Almeida, 20, Vila Calafate, 90402638 Teixeira da Serra / PE</t>
  </si>
  <si>
    <t>amandada-cruz@ig.com.br</t>
  </si>
  <si>
    <t>(33) 91613-6744</t>
  </si>
  <si>
    <t>Maitê</t>
  </si>
  <si>
    <t>968.413.075-93</t>
  </si>
  <si>
    <t>Largo Luiza Nascimento, 1, Paulo Vi, 88434841 Fernandes de Goiás / MS</t>
  </si>
  <si>
    <t>luigida-luz@monteiro.br</t>
  </si>
  <si>
    <t>(71) 95609-9417</t>
  </si>
  <si>
    <t>Maysa</t>
  </si>
  <si>
    <t>Mendes</t>
  </si>
  <si>
    <t>654.709.138-48</t>
  </si>
  <si>
    <t>Viaduto Igor Ramos, 2, São Salvador, 16522-527 Ferreira de Minas / RJ</t>
  </si>
  <si>
    <t>caldeirarafaela@ig.com.br</t>
  </si>
  <si>
    <t>(87) 90556-8674</t>
  </si>
  <si>
    <t>Vitor</t>
  </si>
  <si>
    <t>039.487.521-41</t>
  </si>
  <si>
    <t>Trevo de da Luz, Bonfim, 68595-468 Silveira do Sul / RS</t>
  </si>
  <si>
    <t>icaldeira@ig.com.br</t>
  </si>
  <si>
    <t>(85) 93912-7445</t>
  </si>
  <si>
    <t>Rebeca</t>
  </si>
  <si>
    <t>Farias</t>
  </si>
  <si>
    <t>192.854.670-67</t>
  </si>
  <si>
    <t>Colônia Isabella Monteiro, 13, Boa União 1ª Seção, 77552949 Oliveira de Ferreira / RR</t>
  </si>
  <si>
    <t>oliveiraemanuelly@pires.com</t>
  </si>
  <si>
    <t>(84) 91363-6020</t>
  </si>
  <si>
    <t>Ana Carolina</t>
  </si>
  <si>
    <t>152.743.680-26</t>
  </si>
  <si>
    <t>Via Larissa Rocha, 8, Vila Inestan, 78052-461 Nogueira de Goiás / AL</t>
  </si>
  <si>
    <t>valves@gmail.com</t>
  </si>
  <si>
    <t>(83) 99647-5410</t>
  </si>
  <si>
    <t>Eduarda</t>
  </si>
  <si>
    <t>947.605.138-84</t>
  </si>
  <si>
    <t>Jardim de Pinto, 11, Vila Suzana Primeira Seção, 52294337 Araújo / MG</t>
  </si>
  <si>
    <t>vdias@bol.com.br</t>
  </si>
  <si>
    <t>(13) 99674-7859</t>
  </si>
  <si>
    <t>Benício</t>
  </si>
  <si>
    <t>Pinto</t>
  </si>
  <si>
    <t>936.724.518-19</t>
  </si>
  <si>
    <t>Praia de Oliveira, 54, Mariquinhas, 96376-860 Souza / SP</t>
  </si>
  <si>
    <t>sabrina40@bol.com.br</t>
  </si>
  <si>
    <t>(68) 95910-1601</t>
  </si>
  <si>
    <t>Luna</t>
  </si>
  <si>
    <t>486.235.710-53</t>
  </si>
  <si>
    <t>Recanto de Fogaça, 614, Palmeiras, 55157-341 Nascimento de Nascimento / RO</t>
  </si>
  <si>
    <t>davi-luiz77@gomes.br</t>
  </si>
  <si>
    <t>(77) 94082-1795</t>
  </si>
  <si>
    <t>Brenda</t>
  </si>
  <si>
    <t>Lima</t>
  </si>
  <si>
    <t>098.163.542-33</t>
  </si>
  <si>
    <t>Feira da Rosa, 27, Itaipu, 45574-116 Pires / MS</t>
  </si>
  <si>
    <t>anthonycavalcanti@ig.com.br</t>
  </si>
  <si>
    <t>(51) 98639-3607</t>
  </si>
  <si>
    <t>Ana Vitória</t>
  </si>
  <si>
    <t>Silveira</t>
  </si>
  <si>
    <t>129.364.087-50</t>
  </si>
  <si>
    <t>Núcleo de Lopes, 3, Vila São Gabriel Jacui, 89004-646 Novaes das Pedras / MG</t>
  </si>
  <si>
    <t>valentinanunes@mendes.net</t>
  </si>
  <si>
    <t>(77) 91965-9640</t>
  </si>
  <si>
    <t>Maria</t>
  </si>
  <si>
    <t>964.078.523-74</t>
  </si>
  <si>
    <t>Setor de Cavalcanti, Jonas Veiga, 28151663 da Paz / DF</t>
  </si>
  <si>
    <t>halmeida@hotmail.com</t>
  </si>
  <si>
    <t>(54) 93382-0873</t>
  </si>
  <si>
    <t>Laura</t>
  </si>
  <si>
    <t>Carvalho</t>
  </si>
  <si>
    <t>162.857.490-94</t>
  </si>
  <si>
    <t>Viaduto de Castro, 9, Santa Rita De Cássia, 51110-072 Vieira Alegre / RO</t>
  </si>
  <si>
    <t>caiooliveira@hotmail.com</t>
  </si>
  <si>
    <t>(53) 99186-6991</t>
  </si>
  <si>
    <t>Gustavo Henrique</t>
  </si>
  <si>
    <t>843.927.051-88</t>
  </si>
  <si>
    <t>Fazenda Pedro Henrique Farias, 21, Virgínia, 22306-639 Azevedo do Sul / DF</t>
  </si>
  <si>
    <t>agathada-paz@nunes.net</t>
  </si>
  <si>
    <t>(18) 97652-6240</t>
  </si>
  <si>
    <t>Nascimento</t>
  </si>
  <si>
    <t>769.340.218-78</t>
  </si>
  <si>
    <t>Lago Carolina das Neves, 53, Itapoa, 99363908 Sales / SP</t>
  </si>
  <si>
    <t>csales@farias.net</t>
  </si>
  <si>
    <t>(98) 92830-0038</t>
  </si>
  <si>
    <t>Pietro</t>
  </si>
  <si>
    <t>723.590.864-56</t>
  </si>
  <si>
    <t>Trecho Laura Porto, 23, Mangueiras, 93376553 Ribeiro da Serra / RS</t>
  </si>
  <si>
    <t>yasmincosta@jesus.br</t>
  </si>
  <si>
    <t>(31) 98521-1593</t>
  </si>
  <si>
    <t>Isadora</t>
  </si>
  <si>
    <t>065.789.431-10</t>
  </si>
  <si>
    <t>Viaduto de da Cruz, 564, Caetano Furquim, 50521815 Aragão / PR</t>
  </si>
  <si>
    <t>vinicius06@moraes.org</t>
  </si>
  <si>
    <t>(17) 90543-5363</t>
  </si>
  <si>
    <t>Erick</t>
  </si>
  <si>
    <t>da Cunha</t>
  </si>
  <si>
    <t>204.658.739-10</t>
  </si>
  <si>
    <t>Passarela Maria Vitória da Costa, 782, Vila Madre Gertrudes 1ª Seção, 43313076 da Luz / GO</t>
  </si>
  <si>
    <t>talmeida@almeida.com</t>
  </si>
  <si>
    <t>(99) 98828-7629</t>
  </si>
  <si>
    <t>Maria Fernanda</t>
  </si>
  <si>
    <t>730.265.489-10</t>
  </si>
  <si>
    <t>Loteamento Davi Lucas Almeida, 66, Dom Cabral, 22672-257 Pereira de Minas / RS</t>
  </si>
  <si>
    <t>cda-mata@pires.com</t>
  </si>
  <si>
    <t>(64) 90439-3613</t>
  </si>
  <si>
    <t>Beta Soluções SA</t>
  </si>
  <si>
    <t>98.765.432/0001-10</t>
  </si>
  <si>
    <t>João Pedro</t>
  </si>
  <si>
    <t>Aragão</t>
  </si>
  <si>
    <t>125.769.380-86</t>
  </si>
  <si>
    <t>Quadra Miguel Moreira, 5, Marilandia, 97565-379 da Cunha / PI</t>
  </si>
  <si>
    <t>eporto@da.br</t>
  </si>
  <si>
    <t>(88) 90881-1378</t>
  </si>
  <si>
    <t>Bruno</t>
  </si>
  <si>
    <t>Dias</t>
  </si>
  <si>
    <t>529.360.184-98</t>
  </si>
  <si>
    <t>Lago Araújo, Dom Silverio, 70996540 Sales / GO</t>
  </si>
  <si>
    <t>daniloda-mota@cardoso.br</t>
  </si>
  <si>
    <t>(87) 98541-6499</t>
  </si>
  <si>
    <t>075.483.621-53</t>
  </si>
  <si>
    <t>Campo Araújo, 4, Juliana, 22566787 Ribeiro dos Dourados / AL</t>
  </si>
  <si>
    <t>caio30@duarte.com</t>
  </si>
  <si>
    <t>(67) 92244-4452</t>
  </si>
  <si>
    <t>381.467.920-22</t>
  </si>
  <si>
    <t>Loteamento de Correia, 98, Jardim Atlântico, 75434-385 Barros / TO</t>
  </si>
  <si>
    <t>emanuel14@bol.com.br</t>
  </si>
  <si>
    <t>(16) 92350-2876</t>
  </si>
  <si>
    <t>607.829.415-67</t>
  </si>
  <si>
    <t>Quadra Guilherme Peixoto, 53, Barão Homem De Melo 1ª Seção, 53467-263 Peixoto / MG</t>
  </si>
  <si>
    <t>rjesus@caldeira.com</t>
  </si>
  <si>
    <t>(38) 95033-9629</t>
  </si>
  <si>
    <t>Alice</t>
  </si>
  <si>
    <t>142.780.396-03</t>
  </si>
  <si>
    <t>Núcleo Correia, 318, Inconfidência, 28844213 Teixeira de Caldeira / PB</t>
  </si>
  <si>
    <t>qrezende@fogaca.com</t>
  </si>
  <si>
    <t>(73) 94806-5076</t>
  </si>
  <si>
    <t>Lavínia</t>
  </si>
  <si>
    <t>537.198.264-73</t>
  </si>
  <si>
    <t>Morro de Ribeiro, 68, Vila São Francisco, 88389-047 Pinto do Oeste / SC</t>
  </si>
  <si>
    <t>ana-juliada-luz@peixoto.com</t>
  </si>
  <si>
    <t>(75) 93304-2467</t>
  </si>
  <si>
    <t>Benjamin</t>
  </si>
  <si>
    <t>283.196.475-09</t>
  </si>
  <si>
    <t>Núcleo de Sales, 6, Piratininga, 66284684 Carvalho de Barros / ES</t>
  </si>
  <si>
    <t>qazevedo@da.br</t>
  </si>
  <si>
    <t>(62) 91106-0187</t>
  </si>
  <si>
    <t>Ana Júlia</t>
  </si>
  <si>
    <t>Correia</t>
  </si>
  <si>
    <t>791.256.380-68</t>
  </si>
  <si>
    <t>Aeroporto Ferreira, Novo Das Industrias, 63605-972 Barbosa das Pedras / TO</t>
  </si>
  <si>
    <t>marinaazevedo@mendes.org</t>
  </si>
  <si>
    <t>(17) 93904-8525</t>
  </si>
  <si>
    <t>Ribeiro</t>
  </si>
  <si>
    <t>254.679.801-49</t>
  </si>
  <si>
    <t>Parque Pinto, 53, Vila São Gabriel, 40931725 Santos Paulista / RN</t>
  </si>
  <si>
    <t>nicole37@da.com</t>
  </si>
  <si>
    <t>(89) 94033-2868</t>
  </si>
  <si>
    <t>Vitor Gabriel</t>
  </si>
  <si>
    <t>da Paz</t>
  </si>
  <si>
    <t>752.603.148-08</t>
  </si>
  <si>
    <t>Recanto Silva, 809, Jardim América, 75668845 Jesus de Moreira / AC</t>
  </si>
  <si>
    <t>vitor-hugopereira@hotmail.com</t>
  </si>
  <si>
    <t>(35) 93648-7432</t>
  </si>
  <si>
    <t>Rodrigues</t>
  </si>
  <si>
    <t>905.468.273-65</t>
  </si>
  <si>
    <t>Condomínio Viana, 78, Solimoes, 39593-311 Moraes de Silva / AC</t>
  </si>
  <si>
    <t>luiz-otaviocunha@rocha.net</t>
  </si>
  <si>
    <t>(31) 96951-3706</t>
  </si>
  <si>
    <t>Kevin</t>
  </si>
  <si>
    <t>Monteiro</t>
  </si>
  <si>
    <t>361.875.042-08</t>
  </si>
  <si>
    <t>Passarela da Cruz, 8, São Bernardo, 02230-212 Lopes / MT</t>
  </si>
  <si>
    <t>thomas78@gmail.com</t>
  </si>
  <si>
    <t>(35) 96865-9326</t>
  </si>
  <si>
    <t>Sabrina</t>
  </si>
  <si>
    <t>Cardoso</t>
  </si>
  <si>
    <t>410.623.875-62</t>
  </si>
  <si>
    <t>Recanto de Ramos, 45, Havaí, 44345-643 Caldeira / CE</t>
  </si>
  <si>
    <t>da-pazyasmin@da.br</t>
  </si>
  <si>
    <t>(68) 91114-4814</t>
  </si>
  <si>
    <t>Manuela</t>
  </si>
  <si>
    <t>Barbosa</t>
  </si>
  <si>
    <t>602.731.498-22</t>
  </si>
  <si>
    <t>Condomínio Porto, 59, Bandeirantes, 37126-227 Barbosa das Flores / SE</t>
  </si>
  <si>
    <t>vcosta@yahoo.com.br</t>
  </si>
  <si>
    <t>(27) 97183-3757</t>
  </si>
  <si>
    <t>Catarina</t>
  </si>
  <si>
    <t>857.341.690-48</t>
  </si>
  <si>
    <t>Conjunto Cardoso, 3, Custodinha, 52833992 Ferreira da Praia / PI</t>
  </si>
  <si>
    <t>davi-luiz66@melo.com</t>
  </si>
  <si>
    <t>(28) 90046-0323</t>
  </si>
  <si>
    <t>308.214.759-32</t>
  </si>
  <si>
    <t>Trecho Enzo Gabriel Fernandes, Santa Margarida, 63484159 Rocha / PI</t>
  </si>
  <si>
    <t>klopes@gmail.com</t>
  </si>
  <si>
    <t>(41) 90760-3243</t>
  </si>
  <si>
    <t>Ana Sophia</t>
  </si>
  <si>
    <t>da Rosa</t>
  </si>
  <si>
    <t>537.891.246-64</t>
  </si>
  <si>
    <t>Alameda da Luz, 664, Flamengo, 10986-814 Carvalho dos Dourados / DF</t>
  </si>
  <si>
    <t>kamilly34@bol.com.br</t>
  </si>
  <si>
    <t>(87) 97616-5703</t>
  </si>
  <si>
    <t>Davi Lucca</t>
  </si>
  <si>
    <t>685.401.372-08</t>
  </si>
  <si>
    <t>Setor de Silva, 22, Conjunto Celso Machado, 54681405 Duarte do Sul / PB</t>
  </si>
  <si>
    <t>larissa33@bol.com.br</t>
  </si>
  <si>
    <t>(93) 94107-5984</t>
  </si>
  <si>
    <t>Renan</t>
  </si>
  <si>
    <t>Costa</t>
  </si>
  <si>
    <t>605.943.271-99</t>
  </si>
  <si>
    <t>Ladeira Maria Julia Porto, 66, Túnel De Ibirité, 72115506 Campos do Norte / DF</t>
  </si>
  <si>
    <t>rebecagomes@pires.net</t>
  </si>
  <si>
    <t>(46) 98512-6853</t>
  </si>
  <si>
    <t>835.721.694-37</t>
  </si>
  <si>
    <t>Travessa Leonardo Cardoso, 160, Itapoa, 15024105 Martins / GO</t>
  </si>
  <si>
    <t>martinsjoana@martins.org</t>
  </si>
  <si>
    <t>(19) 98461-9890</t>
  </si>
  <si>
    <t>Heitor</t>
  </si>
  <si>
    <t>475.983.612-82</t>
  </si>
  <si>
    <t>Vila Stephany Lima, 696, Vila Califórnia, 84597450 Lima da Praia / AC</t>
  </si>
  <si>
    <t>novaesstella@da.com</t>
  </si>
  <si>
    <t>(91) 98627-3808</t>
  </si>
  <si>
    <t>Nathan</t>
  </si>
  <si>
    <t>Campos</t>
  </si>
  <si>
    <t>967.832.105-02</t>
  </si>
  <si>
    <t>Recanto Azevedo, 5, Vila Rica, 35773-071 da Cunha / BA</t>
  </si>
  <si>
    <t>peixotolara@gmail.com</t>
  </si>
  <si>
    <t>(85) 94526-8554</t>
  </si>
  <si>
    <t>927.814.536-09</t>
  </si>
  <si>
    <t>Núcleo Ana Lívia Oliveira, 862, Jatobá, 89206422 Correia de Barros / RJ</t>
  </si>
  <si>
    <t>xramos@pinto.br</t>
  </si>
  <si>
    <t>(91) 99635-1493</t>
  </si>
  <si>
    <t>Mariane</t>
  </si>
  <si>
    <t>314.260.897-40</t>
  </si>
  <si>
    <t>Condomínio das Neves, 37, Tirol, 52305-890 da Conceição de Goiás / AM</t>
  </si>
  <si>
    <t>vianabrenda@cunha.net</t>
  </si>
  <si>
    <t>(35) 94427-5281</t>
  </si>
  <si>
    <t>Sofia</t>
  </si>
  <si>
    <t>978.415.063-84</t>
  </si>
  <si>
    <t>Lagoa Augusto Costa, 868, Carlos Prates, 54009988 Barbosa da Serra / AM</t>
  </si>
  <si>
    <t>silveiramurilo@hotmail.com</t>
  </si>
  <si>
    <t>(16) 96280-2599</t>
  </si>
  <si>
    <t>193.274.860-13</t>
  </si>
  <si>
    <t>Vale Ana Lívia da Mata, Vila Satélite, 06555-522 Correia / RR</t>
  </si>
  <si>
    <t>emanuella32@oliveira.br</t>
  </si>
  <si>
    <t>(42) 92745-7650</t>
  </si>
  <si>
    <t>Pires</t>
  </si>
  <si>
    <t>920.684.573-00</t>
  </si>
  <si>
    <t>Lagoa Lara da Mata, 333, Vila Inestan, 43067536 Barbosa de Goiás / MT</t>
  </si>
  <si>
    <t>lucca51@silva.org</t>
  </si>
  <si>
    <t>(94) 98226-0298</t>
  </si>
  <si>
    <t>Isabella</t>
  </si>
  <si>
    <t>516.483.209-70</t>
  </si>
  <si>
    <t>Vereda Pietro Almeida, São José, 42306411 da Rosa / RS</t>
  </si>
  <si>
    <t>tpeixoto@gmail.com</t>
  </si>
  <si>
    <t>(91) 92904-6994</t>
  </si>
  <si>
    <t>Camila</t>
  </si>
  <si>
    <t>978.360.521-68</t>
  </si>
  <si>
    <t>Ladeira de da Cruz, 80, Vila União, 80176-808 da Rosa de Goiás / PE</t>
  </si>
  <si>
    <t>mariana78@carvalho.br</t>
  </si>
  <si>
    <t>(24) 94850-3235</t>
  </si>
  <si>
    <t>Maria Vitória</t>
  </si>
  <si>
    <t>Fogaça</t>
  </si>
  <si>
    <t>084.736.295-74</t>
  </si>
  <si>
    <t>Viaduto Noah Cardoso, 14, Vila Santa Monica 2ª Seção, 52517303 Rezende de Fernandes / RJ</t>
  </si>
  <si>
    <t>da-costafrancisco@yahoo.com.br</t>
  </si>
  <si>
    <t>(92) 96457-6995</t>
  </si>
  <si>
    <t>326.489.701-69</t>
  </si>
  <si>
    <t>Jardim Maria Cecília da Mota, 356, Morro Dos Macacos, 48276035 Sales / BA</t>
  </si>
  <si>
    <t>mourabenjamin@ig.com.br</t>
  </si>
  <si>
    <t>(47) 94601-6633</t>
  </si>
  <si>
    <t>736.840.951-84</t>
  </si>
  <si>
    <t>Trecho de Campos, 64, Boa Viagem, 36870-336 Farias / BA</t>
  </si>
  <si>
    <t>guilherme47@monteiro.org</t>
  </si>
  <si>
    <t>(16) 97936-0483</t>
  </si>
  <si>
    <t>Guilherme</t>
  </si>
  <si>
    <t>da Rocha</t>
  </si>
  <si>
    <t>791.524.830-88</t>
  </si>
  <si>
    <t>Via Martins, 3, Inconfidência, 94717211 Martins do Sul / PA</t>
  </si>
  <si>
    <t>gcarvalho@cunha.br</t>
  </si>
  <si>
    <t>(21) 94774-2101</t>
  </si>
  <si>
    <t>Pereira</t>
  </si>
  <si>
    <t>124.389.756-28</t>
  </si>
  <si>
    <t>Praia Lima, Tiradentes, 27392376 Pires / RS</t>
  </si>
  <si>
    <t>vjesus@novaes.com</t>
  </si>
  <si>
    <t>(17) 96500-0303</t>
  </si>
  <si>
    <t>Castro</t>
  </si>
  <si>
    <t>189.246.053-05</t>
  </si>
  <si>
    <t>Sítio Aragão, 5, Pompéia, 32009-576 Azevedo Alegre / GO</t>
  </si>
  <si>
    <t>aaraujo@da.com</t>
  </si>
  <si>
    <t>(94) 96998-7228</t>
  </si>
  <si>
    <t>Isabel</t>
  </si>
  <si>
    <t>Ramos</t>
  </si>
  <si>
    <t>528.763.901-59</t>
  </si>
  <si>
    <t>Fazenda Caio Santos, 64, Maria Virgínia, 81940046 da Paz / DF</t>
  </si>
  <si>
    <t>goncalveslorena@moreira.br</t>
  </si>
  <si>
    <t>(96) 96679-6745</t>
  </si>
  <si>
    <t>Luiz Miguel</t>
  </si>
  <si>
    <t>170.265.934-80</t>
  </si>
  <si>
    <t>Alameda de da Luz, Ernesto Nascimento, 78670609 Farias / MA</t>
  </si>
  <si>
    <t>cunhabryan@rezende.br</t>
  </si>
  <si>
    <t>(98) 96437-6459</t>
  </si>
  <si>
    <t>Peixoto</t>
  </si>
  <si>
    <t>285.704.136-53</t>
  </si>
  <si>
    <t>Morro de Silva, 650, Vila Minaslandia, 37022-594 Duarte das Flores / TO</t>
  </si>
  <si>
    <t>maria-vitoria83@yahoo.com.br</t>
  </si>
  <si>
    <t>(87) 94320-2070</t>
  </si>
  <si>
    <t>Melissa</t>
  </si>
  <si>
    <t>241.096.835-05</t>
  </si>
  <si>
    <t>Favela Moraes, 94, Vila Da Paz, 35143903 Fernandes do Oeste / RN</t>
  </si>
  <si>
    <t>guilhermeda-mata@uol.com.br</t>
  </si>
  <si>
    <t>(93) 95577-8317</t>
  </si>
  <si>
    <t>Lorenzo</t>
  </si>
  <si>
    <t>Moraes</t>
  </si>
  <si>
    <t>276.095.431-52</t>
  </si>
  <si>
    <t>Feira Manuela Lopes, 84, Pompéia, 28005941 da Cruz / PI</t>
  </si>
  <si>
    <t>melissanogueira@moreira.br</t>
  </si>
  <si>
    <t>(79) 93951-7040</t>
  </si>
  <si>
    <t>273.491.850-14</t>
  </si>
  <si>
    <t>Avenida Costela, 57, Campo Alegre, 59663330 Pereira / RR</t>
  </si>
  <si>
    <t>pietra83@costela.com</t>
  </si>
  <si>
    <t>(81) 99041-7426</t>
  </si>
  <si>
    <t>Lorena</t>
  </si>
  <si>
    <t>816.403.957-84</t>
  </si>
  <si>
    <t>Esplanada de Vieira, 34, Vila Jardim Leblon, 80770-032 das Neves / RR</t>
  </si>
  <si>
    <t>fnogueira@bol.com.br</t>
  </si>
  <si>
    <t>(92) 96359-4505</t>
  </si>
  <si>
    <t>Theo</t>
  </si>
  <si>
    <t>970.483.526-47</t>
  </si>
  <si>
    <t>Recanto Porto, 3, Conjunto Capitão Eduardo, 83879-851 Nascimento / AP</t>
  </si>
  <si>
    <t>nicolasoliveira@cardoso.com</t>
  </si>
  <si>
    <t>(44) 96959-6709</t>
  </si>
  <si>
    <t>Ana Beatriz</t>
  </si>
  <si>
    <t>261.083.759-30</t>
  </si>
  <si>
    <t>Aeroporto de Araújo, 4, Vila Canto Do Sabiá, 38674184 da Mata / GO</t>
  </si>
  <si>
    <t>vitor-hugocastro@yahoo.com.br</t>
  </si>
  <si>
    <t>(55) 91595-1968</t>
  </si>
  <si>
    <t>Breno</t>
  </si>
  <si>
    <t>314.720.865-62</t>
  </si>
  <si>
    <t>Lagoa Ribeiro, 231, Vila Satélite, 00077-279 das Neves do Sul / DF</t>
  </si>
  <si>
    <t>danielaalmeida@correia.net</t>
  </si>
  <si>
    <t>(87) 94386-9506</t>
  </si>
  <si>
    <t>Sales</t>
  </si>
  <si>
    <t>496.801.527-58</t>
  </si>
  <si>
    <t>Colônia de Moura, 67, Glória, 60014947 Nunes Grande / BA</t>
  </si>
  <si>
    <t>diasthomas@peixoto.com</t>
  </si>
  <si>
    <t>(64) 97654-4636</t>
  </si>
  <si>
    <t>Valentina</t>
  </si>
  <si>
    <t>da Luz</t>
  </si>
  <si>
    <t>791.652.483-09</t>
  </si>
  <si>
    <t>Praça Gomes, 51, Sion, 80880666 Novaes de Martins / AC</t>
  </si>
  <si>
    <t>azevedoraul@da.com</t>
  </si>
  <si>
    <t>(54) 91850-2972</t>
  </si>
  <si>
    <t>954.638.120-98</t>
  </si>
  <si>
    <t>Lago Camila Ribeiro, 42, Vila Paraíso, 22364-811 Duarte / PR</t>
  </si>
  <si>
    <t>nogueirapedro-henrique@ig.com.br</t>
  </si>
  <si>
    <t>(32) 98821-0932</t>
  </si>
  <si>
    <t>Heloísa</t>
  </si>
  <si>
    <t>289.173.405-04</t>
  </si>
  <si>
    <t>Rodovia de das Neves, 85, Aparecida, 97591-187 Costa do Norte / RO</t>
  </si>
  <si>
    <t>danielanogueira@yahoo.com.br</t>
  </si>
  <si>
    <t>(77) 97762-4943</t>
  </si>
  <si>
    <t>Gamma Serviços ME</t>
  </si>
  <si>
    <t>11.222.333/0001-55</t>
  </si>
  <si>
    <t>v</t>
  </si>
  <si>
    <t>Ian</t>
  </si>
  <si>
    <t>324.819.705-60</t>
  </si>
  <si>
    <t>Área da Rosa, 13, São Francisco, 64270015 Mendes de Rocha / MT</t>
  </si>
  <si>
    <t>silveirakevin@bol.com.br</t>
  </si>
  <si>
    <t>(51) 93557-9317</t>
  </si>
  <si>
    <t>Miguel</t>
  </si>
  <si>
    <t>Costela</t>
  </si>
  <si>
    <t>059.741.628-11</t>
  </si>
  <si>
    <t>Estação da Rosa, 456, Vista Do Sol, 83251-611 da Rosa / SE</t>
  </si>
  <si>
    <t>augustomonteiro@uol.com.br</t>
  </si>
  <si>
    <t>(28) 94057-0565</t>
  </si>
  <si>
    <t>da Cruz</t>
  </si>
  <si>
    <t>643.928.715-09</t>
  </si>
  <si>
    <t>Rodovia de Barbosa, 883, Boa União 2ª Seção, 80160400 Melo / PI</t>
  </si>
  <si>
    <t>claricemoraes@hotmail.com</t>
  </si>
  <si>
    <t>(95) 91866-9731</t>
  </si>
  <si>
    <t>178.249.635-19</t>
  </si>
  <si>
    <t>Recanto Ian Silva, 55, Silveira, 84997139 Cardoso do Campo / TO</t>
  </si>
  <si>
    <t>cavalcantigiovanna@ig.com.br</t>
  </si>
  <si>
    <t>(48) 93516-3625</t>
  </si>
  <si>
    <t>Elisa</t>
  </si>
  <si>
    <t>358.174.069-93</t>
  </si>
  <si>
    <t>Quadra Lima, 38, Teixeira Dias, 08137734 Rodrigues / AL</t>
  </si>
  <si>
    <t>xsales@caldeira.com</t>
  </si>
  <si>
    <t>(89) 97193-6739</t>
  </si>
  <si>
    <t>Olivia</t>
  </si>
  <si>
    <t>570.932.681-02</t>
  </si>
  <si>
    <t>Feira de Gomes, 56, Palmeiras, 95078739 Fogaça / MT</t>
  </si>
  <si>
    <t>da-rochagustavo-henrique@yahoo.com.br</t>
  </si>
  <si>
    <t>(13) 99810-7046</t>
  </si>
  <si>
    <t>Martins</t>
  </si>
  <si>
    <t>473.185.602-71</t>
  </si>
  <si>
    <t>Largo Nunes, 487, Confisco, 22672-885 Monteiro / PB</t>
  </si>
  <si>
    <t>alexiada-cunha@hotmail.com</t>
  </si>
  <si>
    <t>(92) 97896-2195</t>
  </si>
  <si>
    <t>Agatha</t>
  </si>
  <si>
    <t>896.530.714-75</t>
  </si>
  <si>
    <t>Passarela Jesus, 88, Copacabana, 32238-310 Azevedo / MG</t>
  </si>
  <si>
    <t>calebe92@uol.com.br</t>
  </si>
  <si>
    <t>(63) 92875-9769</t>
  </si>
  <si>
    <t>Marcelo</t>
  </si>
  <si>
    <t>951.708.463-39</t>
  </si>
  <si>
    <t>Alameda Costa, 7, Castelo, 38492-682 Pinto das Pedras / PB</t>
  </si>
  <si>
    <t>sdias@ig.com.br</t>
  </si>
  <si>
    <t>(85) 97076-7467</t>
  </si>
  <si>
    <t>Nicole</t>
  </si>
  <si>
    <t>061.538.492-70</t>
  </si>
  <si>
    <t>Rua Brenda Mendes, 34, Diamante, 32774-039 Pires / CE</t>
  </si>
  <si>
    <t>vieiraryan@bol.com.br</t>
  </si>
  <si>
    <t>(35) 93188-7236</t>
  </si>
  <si>
    <t>Anthony</t>
  </si>
  <si>
    <t>074.513.698-20</t>
  </si>
  <si>
    <t>Via Silva, 36, Liberdade, 16673-306 da Rosa / TO</t>
  </si>
  <si>
    <t>isismoura@yahoo.com.br</t>
  </si>
  <si>
    <t>(16) 90129-2366</t>
  </si>
  <si>
    <t>Evelyn</t>
  </si>
  <si>
    <t>Viana</t>
  </si>
  <si>
    <t>634.725.081-08</t>
  </si>
  <si>
    <t>Recanto Costa, Lagoinha, 13494956 Campos / RO</t>
  </si>
  <si>
    <t>henriquebarbosa@rezende.br</t>
  </si>
  <si>
    <t>(95) 96632-7646</t>
  </si>
  <si>
    <t>748.392.016-50</t>
  </si>
  <si>
    <t>Distrito Clara Moreira, 42, Nossa Senhora Aparecida, 67217-833 da Cruz Paulista / AP</t>
  </si>
  <si>
    <t>mnogueira@bol.com.br</t>
  </si>
  <si>
    <t>(68) 97684-2693</t>
  </si>
  <si>
    <t>Kamilly</t>
  </si>
  <si>
    <t>712.836.950-30</t>
  </si>
  <si>
    <t>Trecho Ryan Souza, 66, Vila Nova Cachoeirinha 3ª Seção, 72455747 Peixoto de Goiás / AP</t>
  </si>
  <si>
    <t>fernandalima@rocha.br</t>
  </si>
  <si>
    <t>(95) 90770-0370</t>
  </si>
  <si>
    <t>Stephany</t>
  </si>
  <si>
    <t>069.345.721-06</t>
  </si>
  <si>
    <t>Núcleo de Viana, 88, Maria Goretti, 87231-374 Silveira / RO</t>
  </si>
  <si>
    <t>carlos-eduardo84@peixoto.com</t>
  </si>
  <si>
    <t>(11) 90587-2563</t>
  </si>
  <si>
    <t>Azevedo</t>
  </si>
  <si>
    <t>810.792.543-23</t>
  </si>
  <si>
    <t>Quadra de Ferreira, 37, Vila São Gabriel, 45575-248 Ramos / TO</t>
  </si>
  <si>
    <t>smonteiro@ig.com.br</t>
  </si>
  <si>
    <t>(84) 97864-3024</t>
  </si>
  <si>
    <t>Lívia</t>
  </si>
  <si>
    <t>134.098.256-06</t>
  </si>
  <si>
    <t>Praia de da Cunha, Alpes, 50252-811 Nascimento de Cardoso / MS</t>
  </si>
  <si>
    <t>antoniofreitas@yahoo.com.br</t>
  </si>
  <si>
    <t>(16) 92265-5148</t>
  </si>
  <si>
    <t>Eloah</t>
  </si>
  <si>
    <t>480.236.579-92</t>
  </si>
  <si>
    <t>Residencial Oliveira, 9, Santa Cruz, 34245972 Pires das Flores / PB</t>
  </si>
  <si>
    <t>flima@monteiro.org</t>
  </si>
  <si>
    <t>(48) 98539-9581</t>
  </si>
  <si>
    <t>Francisco</t>
  </si>
  <si>
    <t>Melo</t>
  </si>
  <si>
    <t>937.128.465-09</t>
  </si>
  <si>
    <t>Travessa Valentina Araújo, 8, Olhos D'água, 10749-769 Nogueira do Galho / PA</t>
  </si>
  <si>
    <t>carolina38@da.com</t>
  </si>
  <si>
    <t>(71) 95252-3415</t>
  </si>
  <si>
    <t>826.103.479-87</t>
  </si>
  <si>
    <t>Distrito de Cardoso, 13, Vila Calafate, 93749-985 Silveira / CE</t>
  </si>
  <si>
    <t>joaquim78@da.br</t>
  </si>
  <si>
    <t>(88) 91935-3219</t>
  </si>
  <si>
    <t>Almeida</t>
  </si>
  <si>
    <t>569.174.820-30</t>
  </si>
  <si>
    <t>Rua de Peixoto, 43, Vila Jardim Leblon, 01403-137 Mendes / MG</t>
  </si>
  <si>
    <t>daniela49@bol.com.br</t>
  </si>
  <si>
    <t>(37) 95093-3420</t>
  </si>
  <si>
    <t>Emilly</t>
  </si>
  <si>
    <t>489.617.530-10</t>
  </si>
  <si>
    <t>Loteamento da Cunha, 699, Vila Madre Gertrudes 3ª Seção, 79822-283 Silveira do Sul / RS</t>
  </si>
  <si>
    <t>maria-sophia29@vieira.br</t>
  </si>
  <si>
    <t>(61) 99408-7109</t>
  </si>
  <si>
    <t>Helena</t>
  </si>
  <si>
    <t>603.425.871-53</t>
  </si>
  <si>
    <t>Morro de Melo, 534, Graça, 55953-635 Duarte / PI</t>
  </si>
  <si>
    <t>vicentebarbosa@uol.com.br</t>
  </si>
  <si>
    <t>(69) 93781-5296</t>
  </si>
  <si>
    <t>Esther</t>
  </si>
  <si>
    <t>076.185.394-48</t>
  </si>
  <si>
    <t>Feira da Cruz, 16, Cidade Jardim, 32819324 da Cunha / BA</t>
  </si>
  <si>
    <t>daniela20@ig.com.br</t>
  </si>
  <si>
    <t>(51) 92090-2247</t>
  </si>
  <si>
    <t>Vinicius</t>
  </si>
  <si>
    <t>340.657.198-01</t>
  </si>
  <si>
    <t>Favela Julia Monteiro, 19, Barão Homem De Melo 1ª Seção, 24837155 Santos de Cardoso / DF</t>
  </si>
  <si>
    <t>gomesotavio@silva.com</t>
  </si>
  <si>
    <t>(93) 97052-9591</t>
  </si>
  <si>
    <t>291.346.508-06</t>
  </si>
  <si>
    <t>Ladeira de Almeida, 200, Planalto, 31786981 Jesus / PA</t>
  </si>
  <si>
    <t>cgoncalves@yahoo.com.br</t>
  </si>
  <si>
    <t>(66) 96698-4795</t>
  </si>
  <si>
    <t>Leandro</t>
  </si>
  <si>
    <t>021.639.857-68</t>
  </si>
  <si>
    <t>Lagoa de Moura, 302, Braúnas, 26034049 Nogueira / PE</t>
  </si>
  <si>
    <t>da-cruzjoao-gabriel@duarte.br</t>
  </si>
  <si>
    <t>(21) 98427-6184</t>
  </si>
  <si>
    <t>Rocha</t>
  </si>
  <si>
    <t>730.519.842-05</t>
  </si>
  <si>
    <t>Viela Gomes, 47, Penha, 67681935 Gomes / RS</t>
  </si>
  <si>
    <t>vitoria41@barros.com</t>
  </si>
  <si>
    <t>(12) 93830-6291</t>
  </si>
  <si>
    <t>641.083.579-57</t>
  </si>
  <si>
    <t>Parque Francisco Freitas, 7, São José, 76489982 Pereira / MA</t>
  </si>
  <si>
    <t>gomesjoao-miguel@caldeira.br</t>
  </si>
  <si>
    <t>(79) 90762-9641</t>
  </si>
  <si>
    <t>Alexandre</t>
  </si>
  <si>
    <t>072.653.184-71</t>
  </si>
  <si>
    <t>Quadra Correia, 21, Vila São João Batista, 25603113 da Cruz Verde / SP</t>
  </si>
  <si>
    <t>joao-vitoralves@nascimento.br</t>
  </si>
  <si>
    <t>(33) 99674-1079</t>
  </si>
  <si>
    <t>Thomas</t>
  </si>
  <si>
    <t>284.750.391-97</t>
  </si>
  <si>
    <t>Praia de Cavalcanti, 962, Nova Vista, 13621-464 Barros de Cardoso / AP</t>
  </si>
  <si>
    <t>isabelpinto@porto.net</t>
  </si>
  <si>
    <t>(86) 98597-8734</t>
  </si>
  <si>
    <t>380.275.164-71</t>
  </si>
  <si>
    <t>Feira Vitor Dias, 82, Dona Clara, 94248-509 da Rocha / PB</t>
  </si>
  <si>
    <t>luiza38@araujo.com</t>
  </si>
  <si>
    <t>(66) 93399-6054</t>
  </si>
  <si>
    <t>605.384.219-24</t>
  </si>
  <si>
    <t>Área de Lima, 4, Anchieta, 30775-007 Moraes do Sul / PB</t>
  </si>
  <si>
    <t>ana-beatriz21@rezende.com</t>
  </si>
  <si>
    <t>(82) 97002-2590</t>
  </si>
  <si>
    <t>Daniela</t>
  </si>
  <si>
    <t>517.893.042-88</t>
  </si>
  <si>
    <t>Estrada Gabriela Caldeira, 49, Vila Ecológica, 14741-593 das Neves / SC</t>
  </si>
  <si>
    <t>joao-felipeazevedo@porto.com</t>
  </si>
  <si>
    <t>(96) 96784-3871</t>
  </si>
  <si>
    <t>543.208.169-51</t>
  </si>
  <si>
    <t>Travessa Eloah Rodrigues, São Pedro, 87377564 Araújo das Flores / DF</t>
  </si>
  <si>
    <t>fda-luz@bol.com.br</t>
  </si>
  <si>
    <t>(45) 91158-6838</t>
  </si>
  <si>
    <t>035.672.814-53</t>
  </si>
  <si>
    <t>Vereda Marcos Vinicius Fogaça, 448, São Bernardo, 54328-806 da Mota / RJ</t>
  </si>
  <si>
    <t>nunesvitoria@lopes.com</t>
  </si>
  <si>
    <t>(77) 96918-2060</t>
  </si>
  <si>
    <t>da Mota</t>
  </si>
  <si>
    <t>073.168.294-78</t>
  </si>
  <si>
    <t>Ladeira de Cunha, 37, São Cristóvão, 78939-684 Caldeira do Oeste / RN</t>
  </si>
  <si>
    <t>da-rosajuliana@mendes.org</t>
  </si>
  <si>
    <t>(83) 91616-1961</t>
  </si>
  <si>
    <t>Caldeira</t>
  </si>
  <si>
    <t>804.752.613-80</t>
  </si>
  <si>
    <t>Feira de Cardoso, 70, Lajedo, 86576-926 Cardoso / RN</t>
  </si>
  <si>
    <t>valentina84@gmail.com</t>
  </si>
  <si>
    <t>(66) 94466-8227</t>
  </si>
  <si>
    <t>096.235.418-05</t>
  </si>
  <si>
    <t>Lagoa de Ramos, 4, Conjunto Celso Machado, 81323-314 Pinto de Goiás / AM</t>
  </si>
  <si>
    <t>matheus51@mendes.com</t>
  </si>
  <si>
    <t>(61) 91710-5497</t>
  </si>
  <si>
    <t>876.429.530-38</t>
  </si>
  <si>
    <t>Ladeira Maria Luiza Santos, 64, Satelite, 77199-203 Santos Verde / GO</t>
  </si>
  <si>
    <t>livia97@yahoo.com.br</t>
  </si>
  <si>
    <t>(33) 99293-8215</t>
  </si>
  <si>
    <t>Bárbara</t>
  </si>
  <si>
    <t>954.612.730-25</t>
  </si>
  <si>
    <t>Rua Ferreira, 44, Lagoinha, 06032-869 Gomes / GO</t>
  </si>
  <si>
    <t>julia97@da.com</t>
  </si>
  <si>
    <t>(16) 97629-0317</t>
  </si>
  <si>
    <t>234.685.709-29</t>
  </si>
  <si>
    <t>Via de Rodrigues, Madri, 03234382 Aragão de Viana / MT</t>
  </si>
  <si>
    <t>ian21@gmail.com</t>
  </si>
  <si>
    <t>(22) 96559-3201</t>
  </si>
  <si>
    <t>da Mata</t>
  </si>
  <si>
    <t>428.650.739-47</t>
  </si>
  <si>
    <t>Chácara de da Cruz, 35, Vila Aeroporto Jaraguá, 18507-283 Silva / MG</t>
  </si>
  <si>
    <t>maria-fernandaazevedo@lima.br</t>
  </si>
  <si>
    <t>(38) 91957-2699</t>
  </si>
  <si>
    <t>Marcela</t>
  </si>
  <si>
    <t>127.340.689-31</t>
  </si>
  <si>
    <t>Favela Levi Azevedo, 788, Vila Sumaré, 23124-775 Dias de Moraes / AP</t>
  </si>
  <si>
    <t>hmartins@sales.br</t>
  </si>
  <si>
    <t>(91) 91466-1827</t>
  </si>
  <si>
    <t>628.451.709-20</t>
  </si>
  <si>
    <t>Conjunto Nunes, Graça, 45695321 Correia / DF</t>
  </si>
  <si>
    <t>mariana08@rodrigues.com</t>
  </si>
  <si>
    <t>(28) 95685-0356</t>
  </si>
  <si>
    <t>Rodrigo</t>
  </si>
  <si>
    <t>178.490.532-14</t>
  </si>
  <si>
    <t>Parque de Almeida, 86, Novo Tupi, 94157-909 Novaes / PI</t>
  </si>
  <si>
    <t>acaldeira@fernandes.br</t>
  </si>
  <si>
    <t>(31) 97085-4942</t>
  </si>
  <si>
    <t>751.469.028-01</t>
  </si>
  <si>
    <t>Morro de Pires, 832, Santa Rosa, 62470-501 da Costa / DF</t>
  </si>
  <si>
    <t>waraujo@bol.com.br</t>
  </si>
  <si>
    <t>(12) 95548-3137</t>
  </si>
  <si>
    <t>Pietra</t>
  </si>
  <si>
    <t>536.708.291-21</t>
  </si>
  <si>
    <t>Residencial Mendes, 426, Confisco, 52013985 Araújo de Ribeiro / PA</t>
  </si>
  <si>
    <t>diogoda-rocha@costela.br</t>
  </si>
  <si>
    <t>(69) 93593-9369</t>
  </si>
  <si>
    <t>805.347.612-08</t>
  </si>
  <si>
    <t>Praça Otávio Souza, 68, Inconfidência, 77848-765 Mendes do Norte / AC</t>
  </si>
  <si>
    <t>da-costayasmin@ig.com.br</t>
  </si>
  <si>
    <t>(53) 99935-7178</t>
  </si>
  <si>
    <t>Vitor Hugo</t>
  </si>
  <si>
    <t>796.452.183-73</t>
  </si>
  <si>
    <t>Sítio Lucas Ferreira, 83, Ademar Maldonado, 49394-546 Azevedo do Norte / DF</t>
  </si>
  <si>
    <t>davi-lucassilva@yahoo.com.br</t>
  </si>
  <si>
    <t>(62) 91460-6972</t>
  </si>
  <si>
    <t>Delta Comércio EPP</t>
  </si>
  <si>
    <t>44.555.666/0001-77</t>
  </si>
  <si>
    <t>Mariana</t>
  </si>
  <si>
    <t>Ferreira</t>
  </si>
  <si>
    <t>380.954.261-05</t>
  </si>
  <si>
    <t>Viela de Dias, 6, Vila Paquetá, 89582-257 Costela de Souza / PA</t>
  </si>
  <si>
    <t>maria-julia79@nascimento.net</t>
  </si>
  <si>
    <t>(67) 92618-9950</t>
  </si>
  <si>
    <t>Barros</t>
  </si>
  <si>
    <t>396.417.280-40</t>
  </si>
  <si>
    <t>Favela Barros, 44, Guarani, 72386745 Aragão dos Dourados / SE</t>
  </si>
  <si>
    <t>cardosonina@azevedo.br</t>
  </si>
  <si>
    <t>(97) 99966-2422</t>
  </si>
  <si>
    <t>938.742.150-32</t>
  </si>
  <si>
    <t>Distrito Clarice da Luz, Centro, 19453328 Correia de Barros / AM</t>
  </si>
  <si>
    <t>souzalavinia@fernandes.br</t>
  </si>
  <si>
    <t>(89) 99877-1353</t>
  </si>
  <si>
    <t>Igor</t>
  </si>
  <si>
    <t>239.760.451-52</t>
  </si>
  <si>
    <t>Passarela Pedro Henrique Cavalcanti, Vila Santo Antônio Barroquinha, 42915034 Teixeira Grande / MA</t>
  </si>
  <si>
    <t>carvalhoana-livia@da.com</t>
  </si>
  <si>
    <t>(55) 99946-0723</t>
  </si>
  <si>
    <t>781.235.096-77</t>
  </si>
  <si>
    <t>Lagoa de Melo, 61, Vila Piratininga, 29892-332 Farias / SC</t>
  </si>
  <si>
    <t>marcelo36@farias.br</t>
  </si>
  <si>
    <t>(79) 91901-5368</t>
  </si>
  <si>
    <t>459.108.672-02</t>
  </si>
  <si>
    <t>Rua Correia, 24, Grajaú, 64404132 Fernandes de Martins / RS</t>
  </si>
  <si>
    <t>pirestheo@hotmail.com</t>
  </si>
  <si>
    <t>(63) 94157-9718</t>
  </si>
  <si>
    <t>942.603.518-42</t>
  </si>
  <si>
    <t>Jardim Gonçalves, 901, Novo Tupi, 52801682 da Rosa de da Costa / SP</t>
  </si>
  <si>
    <t>zfernandes@gomes.net</t>
  </si>
  <si>
    <t>(44) 91208-0865</t>
  </si>
  <si>
    <t>Marcos Vinicius</t>
  </si>
  <si>
    <t>795.230.841-60</t>
  </si>
  <si>
    <t>Núcleo de Rocha, Pompéia, 06110987 Araújo / ES</t>
  </si>
  <si>
    <t>luigi49@yahoo.com.br</t>
  </si>
  <si>
    <t>(84) 99874-1630</t>
  </si>
  <si>
    <t>387.491.052-05</t>
  </si>
  <si>
    <t>Setor de Aragão, 7, Vila Dos Anjos, 80559522 Azevedo Grande / AC</t>
  </si>
  <si>
    <t>marina04@rodrigues.br</t>
  </si>
  <si>
    <t>(17) 90525-0623</t>
  </si>
  <si>
    <t>384.957.061-48</t>
  </si>
  <si>
    <t>Feira de Mendes, Calafate, 78912167 das Neves / RJ</t>
  </si>
  <si>
    <t>lopesluana@ribeiro.org</t>
  </si>
  <si>
    <t>(79) 99686-2153</t>
  </si>
  <si>
    <t>Noah</t>
  </si>
  <si>
    <t>640.579.132-70</t>
  </si>
  <si>
    <t>Trecho da Mota, 2, Conjunto Lagoa, 29773-362 Rocha / BA</t>
  </si>
  <si>
    <t>crezende@cardoso.br</t>
  </si>
  <si>
    <t>(99) 93949-0566</t>
  </si>
  <si>
    <t>124.530.697-99</t>
  </si>
  <si>
    <t>Lagoa Clara Pires, 11, Vila Ipiranga, 86687-833 da Cruz do Campo / SP</t>
  </si>
  <si>
    <t>davi99@hotmail.com</t>
  </si>
  <si>
    <t>(82) 91972-1199</t>
  </si>
  <si>
    <t>Natália</t>
  </si>
  <si>
    <t>173.685.920-02</t>
  </si>
  <si>
    <t>Loteamento de Ribeiro, 96, Paulo Vi, 81845455 Alves Grande / RO</t>
  </si>
  <si>
    <t>unascimento@uol.com.br</t>
  </si>
  <si>
    <t>(16) 96242-8063</t>
  </si>
  <si>
    <t>130.872.564-71</t>
  </si>
  <si>
    <t>Vereda da Paz, 25, Cônego Pinheiro 2ª Seção, 78597055 Vieira de Aragão / RJ</t>
  </si>
  <si>
    <t>cauemelo@rezende.br</t>
  </si>
  <si>
    <t>(66) 93624-2010</t>
  </si>
  <si>
    <t>Amanda</t>
  </si>
  <si>
    <t>198.420.637-04</t>
  </si>
  <si>
    <t>Vale Dias, 18, Barreiro, 64976856 Campos da Serra / PA</t>
  </si>
  <si>
    <t>alicia60@porto.com</t>
  </si>
  <si>
    <t>(18) 91653-6142</t>
  </si>
  <si>
    <t>João Miguel</t>
  </si>
  <si>
    <t>840.956.237-56</t>
  </si>
  <si>
    <t>Sítio João Vitor Fernandes, Maria Virgínia, 97540438 Oliveira / RO</t>
  </si>
  <si>
    <t>ribeiroguilherme@campos.br</t>
  </si>
  <si>
    <t>(67) 98025-2398</t>
  </si>
  <si>
    <t>Otávio</t>
  </si>
  <si>
    <t>841.503.276-53</t>
  </si>
  <si>
    <t>Campo de da Conceição, 371, Vila Da Luz, 27502-092 Ribeiro / PE</t>
  </si>
  <si>
    <t>benicionascimento@pinto.com</t>
  </si>
  <si>
    <t>(99) 99957-3430</t>
  </si>
  <si>
    <t>158.397.024-04</t>
  </si>
  <si>
    <t>Condomínio Araújo, 706, São Tomaz, 17477316 Fernandes da Serra / MA</t>
  </si>
  <si>
    <t>maria-vitoria96@jesus.com</t>
  </si>
  <si>
    <t>(98) 90053-5755</t>
  </si>
  <si>
    <t>845.261.709-76</t>
  </si>
  <si>
    <t>Alameda de Silveira, 71, Mala E Cuia, 22439-802 Nascimento Verde / AP</t>
  </si>
  <si>
    <t>breno80@jesus.br</t>
  </si>
  <si>
    <t>(85) 98867-5977</t>
  </si>
  <si>
    <t>432.967.580-38</t>
  </si>
  <si>
    <t>Chácara Martins, 11, Pantanal, 29505-051 Silva da Praia / SP</t>
  </si>
  <si>
    <t>augustoalves@carvalho.org</t>
  </si>
  <si>
    <t>(74) 94101-4982</t>
  </si>
  <si>
    <t>Giovanna</t>
  </si>
  <si>
    <t>491.562.738-19</t>
  </si>
  <si>
    <t>Trecho Freitas, 86, Trevo, 81005-208 da Mata / GO</t>
  </si>
  <si>
    <t>manuela51@uol.com.br</t>
  </si>
  <si>
    <t>(88) 93777-0666</t>
  </si>
  <si>
    <t>Maria Luiza</t>
  </si>
  <si>
    <t>287.930.164-50</t>
  </si>
  <si>
    <t>Rodovia Pietra Martins, 56, São Marcos, 55196959 Dias do Norte / PA</t>
  </si>
  <si>
    <t>enzo-gabrielpereira@mendes.com</t>
  </si>
  <si>
    <t>(97) 96995-5077</t>
  </si>
  <si>
    <t>312.975.406-70</t>
  </si>
  <si>
    <t>Favela de da Conceição, 7, Bom Jesus, 12131-822 da Costa / AL</t>
  </si>
  <si>
    <t>joao-gabriel80@bol.com.br</t>
  </si>
  <si>
    <t>(73) 94640-4138</t>
  </si>
  <si>
    <t>Alves</t>
  </si>
  <si>
    <t>160.459.382-24</t>
  </si>
  <si>
    <t>Área de Santos, Laranjeiras, 45186675 Vieira / AL</t>
  </si>
  <si>
    <t>ana-sophiacostela@yahoo.com.br</t>
  </si>
  <si>
    <t>(64) 97090-6997</t>
  </si>
  <si>
    <t>314.786.029-96</t>
  </si>
  <si>
    <t>Rodovia de Nogueira, 918, São Benedito, 47642978 Pereira / PA</t>
  </si>
  <si>
    <t>cardosoalexandre@fernandes.net</t>
  </si>
  <si>
    <t>(99) 95459-4800</t>
  </si>
  <si>
    <t>706.319.285-02</t>
  </si>
  <si>
    <t>Vila Cunha, 44, Maria Virgínia, 47756-059 Dias / PR</t>
  </si>
  <si>
    <t>pedro-lucas85@lopes.br</t>
  </si>
  <si>
    <t>(15) 92020-8126</t>
  </si>
  <si>
    <t>Luiz Gustavo</t>
  </si>
  <si>
    <t>965.387.201-02</t>
  </si>
  <si>
    <t>Lago Agatha Barbosa, 879, Barão Homem De Melo 2ª Seção, 28156150 Peixoto / AL</t>
  </si>
  <si>
    <t>zda-conceicao@melo.com</t>
  </si>
  <si>
    <t>(48) 92692-6843</t>
  </si>
  <si>
    <t>Sarah</t>
  </si>
  <si>
    <t>718.450.693-66</t>
  </si>
  <si>
    <t>Aeroporto de Ferreira, 1, Vila Aeroporto, 22457-700 Carvalho Paulista / RO</t>
  </si>
  <si>
    <t>luiz-miguel01@costela.org</t>
  </si>
  <si>
    <t>(13) 90907-1040</t>
  </si>
  <si>
    <t>782.549.061-49</t>
  </si>
  <si>
    <t>Vila de Fernandes, Mirtes, 97760560 Cardoso da Prata / SE</t>
  </si>
  <si>
    <t>wmelo@sales.com</t>
  </si>
  <si>
    <t>(21) 92944-1019</t>
  </si>
  <si>
    <t>Felipe</t>
  </si>
  <si>
    <t>375.604.192-16</t>
  </si>
  <si>
    <t>Setor Pedro Henrique Jesus, 37, Solimoes, 24737-622 da Mata de da Cruz / PI</t>
  </si>
  <si>
    <t>ribeirorodrigo@da.br</t>
  </si>
  <si>
    <t>(71) 96061-6152</t>
  </si>
  <si>
    <t>Luiza</t>
  </si>
  <si>
    <t>130.768.245-62</t>
  </si>
  <si>
    <t>Fazenda da Conceição, 83, Vila Formosa, 97658-272 Moraes da Prata / PB</t>
  </si>
  <si>
    <t>da-cruzmatheus@nogueira.com</t>
  </si>
  <si>
    <t>(24) 91359-3603</t>
  </si>
  <si>
    <t>096.782.531-86</t>
  </si>
  <si>
    <t>Feira Calebe Vieira, 17, Fernão Dias, 66693710 das Neves / RN</t>
  </si>
  <si>
    <t>rezendecaio@gomes.com</t>
  </si>
  <si>
    <t>(37) 95100-6355</t>
  </si>
  <si>
    <t>280.964.173-04</t>
  </si>
  <si>
    <t>Trecho de Alves, 49, Serrano, 01009-146 Monteiro de da Mata / CE</t>
  </si>
  <si>
    <t>fernandescalebe@bol.com.br</t>
  </si>
  <si>
    <t>(88) 97427-6415</t>
  </si>
  <si>
    <t>Fernanda</t>
  </si>
  <si>
    <t>305.742.968-83</t>
  </si>
  <si>
    <t>Estação de da Luz, 870, Grotinha, 43071-041 da Mota / SP</t>
  </si>
  <si>
    <t>vda-luz@ig.com.br</t>
  </si>
  <si>
    <t>(19) 97630-2918</t>
  </si>
  <si>
    <t>Maria Sophia</t>
  </si>
  <si>
    <t>071.985.346-00</t>
  </si>
  <si>
    <t>Esplanada Pedro Lucas Monteiro, 52, Inconfidência, 20860-794 Azevedo / SC</t>
  </si>
  <si>
    <t>meloana-sophia@uol.com.br</t>
  </si>
  <si>
    <t>(44) 91370-9708</t>
  </si>
  <si>
    <t>681.543.279-37</t>
  </si>
  <si>
    <t>Chácara Ana Clara Peixoto, 31, Vila Jardim Leblon, 05627-393 Moreira de Alves / MS</t>
  </si>
  <si>
    <t>marianeduarte@yahoo.com.br</t>
  </si>
  <si>
    <t>(37) 98294-2751</t>
  </si>
  <si>
    <t>869.124.703-78</t>
  </si>
  <si>
    <t>Passarela Dias, Serra Do Curral, 33554-879 Peixoto / PB</t>
  </si>
  <si>
    <t>freitasmaria-alice@moreira.br</t>
  </si>
  <si>
    <t>(48) 93895-1902</t>
  </si>
  <si>
    <t>435.926.718-55</t>
  </si>
  <si>
    <t>Fazenda Dias, 84, Vila Inestan, 50951-480 Pinto / RS</t>
  </si>
  <si>
    <t>salesian@gomes.br</t>
  </si>
  <si>
    <t>(17) 96344-9001</t>
  </si>
  <si>
    <t>Arthur</t>
  </si>
  <si>
    <t>364.258.907-38</t>
  </si>
  <si>
    <t>Núcleo Viana, 47, Mirtes, 35769-031 da Costa / SP</t>
  </si>
  <si>
    <t>mcunha@hotmail.com</t>
  </si>
  <si>
    <t>(13) 90742-7206</t>
  </si>
  <si>
    <t>870.532.619-21</t>
  </si>
  <si>
    <t>Vale de Lima, 488, Aparecida 7ª Seção, 01156464 Moura de da Mata / SC</t>
  </si>
  <si>
    <t>ana58@rocha.br</t>
  </si>
  <si>
    <t>(84) 99324-1430</t>
  </si>
  <si>
    <t>962.438.157-73</t>
  </si>
  <si>
    <t>Distrito Maria Cecília Santos, 76, Serra Verde, 40286-727 Silveira do Amparo / RS</t>
  </si>
  <si>
    <t>luccada-costa@ribeiro.org</t>
  </si>
  <si>
    <t>(86) 98406-2117</t>
  </si>
  <si>
    <t>Caroline</t>
  </si>
  <si>
    <t>508.632.741-53</t>
  </si>
  <si>
    <t>Residencial Paulo Silveira, 813, Tupi B, 31649-739 da Paz dos Dourados / AM</t>
  </si>
  <si>
    <t>thomasalmeida@pires.org</t>
  </si>
  <si>
    <t>(83) 97502-5850</t>
  </si>
  <si>
    <t>Sophia</t>
  </si>
  <si>
    <t>463.927.051-80</t>
  </si>
  <si>
    <t>Fazenda de da Cunha, 3, Dona Clara, 59478418 Vieira de Cunha / GO</t>
  </si>
  <si>
    <t>rodriguesisabelly@ig.com.br</t>
  </si>
  <si>
    <t>(43) 93775-8329</t>
  </si>
  <si>
    <t>416.902.853-89</t>
  </si>
  <si>
    <t>Jardim Diogo Sales, 7, Carmo, 74895-268 Sales do Galho / MG</t>
  </si>
  <si>
    <t>limaleandro@vieira.com</t>
  </si>
  <si>
    <t>(88) 94988-5423</t>
  </si>
  <si>
    <t>Sophie</t>
  </si>
  <si>
    <t>047.695.318-93</t>
  </si>
  <si>
    <t>Via da Mota, 105, Piratininga, 79441668 Dias / BA</t>
  </si>
  <si>
    <t>ncosta@hotmail.com</t>
  </si>
  <si>
    <t>(54) 97187-9043</t>
  </si>
  <si>
    <t>Danilo</t>
  </si>
  <si>
    <t>Rezende</t>
  </si>
  <si>
    <t>807.213.496-50</t>
  </si>
  <si>
    <t>Ladeira de Souza, 70, Canadá, 80184-290 Silva / RO</t>
  </si>
  <si>
    <t>laissouza@hotmail.com</t>
  </si>
  <si>
    <t>(97) 91411-9468</t>
  </si>
  <si>
    <t>127.659.430-52</t>
  </si>
  <si>
    <t>Passarela de Silva, 7, Teixeira Dias, 13221292 Correia de Almeida / RO</t>
  </si>
  <si>
    <t>unogueira@gmail.com</t>
  </si>
  <si>
    <t>(82) 90876-9396</t>
  </si>
  <si>
    <t>Vicente</t>
  </si>
  <si>
    <t>761.093.584-01</t>
  </si>
  <si>
    <t>Praia de Oliveira, 89, Andiroba, 11525762 Rodrigues Alegre / AM</t>
  </si>
  <si>
    <t>pedro-lucas86@da.net</t>
  </si>
  <si>
    <t>(91) 97792-9622</t>
  </si>
  <si>
    <t>789.014.625-67</t>
  </si>
  <si>
    <t>Morro Costa, 283, Pedreira Padro Lopes, 81152245 Pinto / PI</t>
  </si>
  <si>
    <t>teixeiratheo@silveira.br</t>
  </si>
  <si>
    <t>(75) 96240-1572</t>
  </si>
  <si>
    <t>560.214.379-34</t>
  </si>
  <si>
    <t>Travessa Evelyn da Luz, 28, Goiania, 98742630 Silveira do Oeste / SC</t>
  </si>
  <si>
    <t>gpeixoto@yahoo.com.br</t>
  </si>
  <si>
    <t>(16) 94553-9255</t>
  </si>
  <si>
    <t>Empresa</t>
  </si>
  <si>
    <t>Dados Expostos</t>
  </si>
  <si>
    <t>Dados Seguros</t>
  </si>
  <si>
    <t>Total</t>
  </si>
  <si>
    <t>cria  um grafico com o total dos usuarios que tiveram suas senhas expostas com base nas planilhas anteriores</t>
  </si>
  <si>
    <t>Empresa Alpha</t>
  </si>
  <si>
    <t>Empresa Beta</t>
  </si>
  <si>
    <t>Empresa Gamma</t>
  </si>
  <si>
    <t>Empresa Delta</t>
  </si>
  <si>
    <t>Total de usuarios com senhas expostas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</si>
</sst>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60">
    <dxf>
      <font>
        <b val="0"/>
      </font>
      <numFmt numFmtId="0" formatCode="General"/>
      <alignment horizontal="center" vertical="center"/>
    </dxf>
    <dxf>
      <font>
        <b val="0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right style="thin">
          <color theme="9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</font>
      <numFmt numFmtId="0" formatCode="General"/>
      <alignment horizontal="center"/>
    </dxf>
    <dxf>
      <font>
        <b val="0"/>
      </font>
      <numFmt numFmtId="0" formatCode="General"/>
      <alignment horizontal="center"/>
    </dxf>
    <dxf>
      <border outline="0">
        <top style="thin">
          <color theme="9"/>
        </top>
      </border>
    </dxf>
    <dxf>
      <font>
        <b val="0"/>
        <family val="2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</font>
      <numFmt numFmtId="0" formatCode="General"/>
      <alignment horizontal="center"/>
    </dxf>
    <dxf>
      <font>
        <b val="0"/>
      </font>
      <numFmt numFmtId="0" formatCode="General"/>
      <alignment horizontal="center"/>
    </dxf>
    <dxf>
      <border outline="0">
        <top style="thin">
          <color theme="9"/>
        </top>
      </border>
    </dxf>
    <dxf>
      <font>
        <b val="0"/>
        <family val="2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font>
        <b val="0"/>
      </font>
      <numFmt numFmtId="0" formatCode="General"/>
      <alignment horizontal="center"/>
    </dxf>
    <dxf>
      <font>
        <b val="0"/>
      </font>
      <numFmt numFmtId="0" formatCode="General"/>
      <alignment horizontal="center"/>
    </dxf>
    <dxf>
      <border outline="0">
        <top style="thin">
          <color theme="9"/>
        </top>
      </border>
    </dxf>
    <dxf>
      <font>
        <b val="0"/>
        <family val="2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Gráficos!$C$1</c:f>
              <c:strCache>
                <c:ptCount val="1"/>
                <c:pt idx="0">
                  <c:v>Dados Expostos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Gráficos!$A$2:$A$5</c:f>
              <c:strCache>
                <c:ptCount val="4"/>
                <c:pt idx="0">
                  <c:v>Alpha Tecnologia LTDA</c:v>
                </c:pt>
                <c:pt idx="1">
                  <c:v>Beta Soluções SA</c:v>
                </c:pt>
                <c:pt idx="2">
                  <c:v>Gamma Serviços ME</c:v>
                </c:pt>
                <c:pt idx="3">
                  <c:v>Delta Comércio EPP</c:v>
                </c:pt>
              </c:strCache>
            </c:strRef>
          </c:cat>
          <c:val>
            <c:numRef>
              <c:f>Gráficos!$C$2:$C$5</c:f>
              <c:numCache>
                <c:formatCode>General</c:formatCode>
                <c:ptCount val="4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8-40F7-B1C0-FFBD1C181324}"/>
            </c:ext>
          </c:extLst>
        </c:ser>
        <c:ser>
          <c:idx val="2"/>
          <c:order val="1"/>
          <c:tx>
            <c:strRef>
              <c:f>Gráficos!$D$1</c:f>
              <c:strCache>
                <c:ptCount val="1"/>
                <c:pt idx="0">
                  <c:v>Dados Seguros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Gráficos!$A$2:$A$5</c:f>
              <c:strCache>
                <c:ptCount val="4"/>
                <c:pt idx="0">
                  <c:v>Alpha Tecnologia LTDA</c:v>
                </c:pt>
                <c:pt idx="1">
                  <c:v>Beta Soluções SA</c:v>
                </c:pt>
                <c:pt idx="2">
                  <c:v>Gamma Serviços ME</c:v>
                </c:pt>
                <c:pt idx="3">
                  <c:v>Delta Comércio EPP</c:v>
                </c:pt>
              </c:strCache>
            </c:strRef>
          </c:cat>
          <c:val>
            <c:numRef>
              <c:f>Gráficos!$D$2:$D$5</c:f>
              <c:numCache>
                <c:formatCode>General</c:formatCode>
                <c:ptCount val="4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8-40F7-B1C0-FFBD1C1813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0178184"/>
        <c:axId val="1463198216"/>
      </c:barChart>
      <c:catAx>
        <c:axId val="116017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98216"/>
        <c:crosses val="autoZero"/>
        <c:auto val="1"/>
        <c:lblAlgn val="ctr"/>
        <c:lblOffset val="100"/>
        <c:noMultiLvlLbl val="0"/>
      </c:catAx>
      <c:valAx>
        <c:axId val="1463198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0178184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2F2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solidFill>
          <a:srgbClr val="F2F2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38-4792-947A-B06A97537BB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B38-4792-947A-B06A97537B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Gráficos!$C$8:$D$8</c:f>
              <c:strCache>
                <c:ptCount val="2"/>
                <c:pt idx="0">
                  <c:v>Dados Expostos</c:v>
                </c:pt>
                <c:pt idx="1">
                  <c:v>Dados Seguros</c:v>
                </c:pt>
              </c:strCache>
            </c:strRef>
          </c:cat>
          <c:val>
            <c:numRef>
              <c:f>Gráficos!$C$9:$D$9</c:f>
              <c:numCache>
                <c:formatCode>General</c:formatCode>
                <c:ptCount val="2"/>
                <c:pt idx="0">
                  <c:v>105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8-4792-947A-B06A97537B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Senhas expostas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Soma!$A$2:$A$5</c:f>
              <c:strCache>
                <c:ptCount val="4"/>
                <c:pt idx="0">
                  <c:v>Empresa Alpha</c:v>
                </c:pt>
                <c:pt idx="1">
                  <c:v>Empresa Beta</c:v>
                </c:pt>
                <c:pt idx="2">
                  <c:v>Empresa Gamma</c:v>
                </c:pt>
                <c:pt idx="3">
                  <c:v>Empresa Delta</c:v>
                </c:pt>
              </c:strCache>
            </c:strRef>
          </c:cat>
          <c:val>
            <c:numRef>
              <c:f>Soma!$B$2:$B$5</c:f>
              <c:numCache>
                <c:formatCode>General</c:formatCode>
                <c:ptCount val="4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E-4A82-8C6F-EAA5BBFEE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897863"/>
        <c:axId val="1603908103"/>
      </c:barChart>
      <c:catAx>
        <c:axId val="160389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08103"/>
        <c:crosses val="autoZero"/>
        <c:auto val="1"/>
        <c:lblAlgn val="ctr"/>
        <c:lblOffset val="100"/>
        <c:noMultiLvlLbl val="0"/>
      </c:catAx>
      <c:valAx>
        <c:axId val="160390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89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Senhas Expostas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15-45DB-9BE3-3AE0B9CB2DD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15-45DB-9BE3-3AE0B9CB2DD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15-45DB-9BE3-3AE0B9CB2DD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15-45DB-9BE3-3AE0B9CB2DD3}"/>
              </c:ext>
            </c:extLst>
          </c:dPt>
          <c:cat>
            <c:strRef>
              <c:f>Soma!$A$2:$A$5</c:f>
              <c:strCache>
                <c:ptCount val="4"/>
                <c:pt idx="0">
                  <c:v>Empresa Alpha</c:v>
                </c:pt>
                <c:pt idx="1">
                  <c:v>Empresa Beta</c:v>
                </c:pt>
                <c:pt idx="2">
                  <c:v>Empresa Gamma</c:v>
                </c:pt>
                <c:pt idx="3">
                  <c:v>Empresa Delta</c:v>
                </c:pt>
              </c:strCache>
            </c:strRef>
          </c:cat>
          <c:val>
            <c:numRef>
              <c:f>Soma!$B$2:$B$5</c:f>
              <c:numCache>
                <c:formatCode>General</c:formatCode>
                <c:ptCount val="4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6-4F43-BC91-27A0C4D31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Soma!$C$2:$C$5</c:f>
              <c:numCache>
                <c:formatCode>General</c:formatCode>
                <c:ptCount val="4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9-4F72-B242-7BE0A9D4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925640"/>
        <c:axId val="1972201480"/>
      </c:barChart>
      <c:catAx>
        <c:axId val="1961925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01480"/>
        <c:crosses val="autoZero"/>
        <c:auto val="1"/>
        <c:lblAlgn val="ctr"/>
        <c:lblOffset val="100"/>
        <c:noMultiLvlLbl val="0"/>
      </c:catAx>
      <c:valAx>
        <c:axId val="197220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925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OK</a:t>
            </a:r>
          </a:p>
        </c:rich>
      </c:tx>
      <c:layout>
        <c:manualLayout>
          <c:xMode val="edge"/>
          <c:yMode val="edge"/>
          <c:x val="0.36045122484689412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Soma!$A$2:$A$5</c:f>
              <c:strCache>
                <c:ptCount val="4"/>
                <c:pt idx="0">
                  <c:v>Empresa Alpha</c:v>
                </c:pt>
                <c:pt idx="1">
                  <c:v>Empresa Beta</c:v>
                </c:pt>
                <c:pt idx="2">
                  <c:v>Empresa Gamma</c:v>
                </c:pt>
                <c:pt idx="3">
                  <c:v>Empresa Delta</c:v>
                </c:pt>
              </c:strCache>
            </c:strRef>
          </c:cat>
          <c:val>
            <c:numRef>
              <c:f>Soma!$C$2:$C$5</c:f>
              <c:numCache>
                <c:formatCode>General</c:formatCode>
                <c:ptCount val="4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9-49DC-A57D-748E18AE1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007496"/>
        <c:axId val="2075030024"/>
      </c:barChart>
      <c:catAx>
        <c:axId val="207500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30024"/>
        <c:crosses val="autoZero"/>
        <c:auto val="1"/>
        <c:lblAlgn val="ctr"/>
        <c:lblOffset val="100"/>
        <c:noMultiLvlLbl val="0"/>
      </c:catAx>
      <c:valAx>
        <c:axId val="207503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00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0</xdr:row>
      <xdr:rowOff>0</xdr:rowOff>
    </xdr:from>
    <xdr:to>
      <xdr:col>13</xdr:col>
      <xdr:colOff>200025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B0CB2-664D-8A8E-ECCF-8A125F9A7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457200</xdr:colOff>
      <xdr:row>0</xdr:row>
      <xdr:rowOff>0</xdr:rowOff>
    </xdr:from>
    <xdr:to>
      <xdr:col>17</xdr:col>
      <xdr:colOff>533400</xdr:colOff>
      <xdr:row>14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9EB7E12-0466-3E04-5649-1EDB57FABE10}"/>
            </a:ext>
            <a:ext uri="{147F2762-F138-4A5C-976F-8EAC2B608ADB}">
              <a16:predDERef xmlns:a16="http://schemas.microsoft.com/office/drawing/2014/main" pred="{7CEB0CB2-664D-8A8E-ECCF-8A125F9A7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133350</xdr:rowOff>
    </xdr:from>
    <xdr:to>
      <xdr:col>0</xdr:col>
      <xdr:colOff>4572000</xdr:colOff>
      <xdr:row>21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8E8AF0-3C5D-CABD-0390-04270B794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123825</xdr:rowOff>
    </xdr:from>
    <xdr:to>
      <xdr:col>0</xdr:col>
      <xdr:colOff>4572000</xdr:colOff>
      <xdr:row>36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F63277-E1FE-A84E-0657-AB5A05F9C2CC}"/>
            </a:ext>
            <a:ext uri="{147F2762-F138-4A5C-976F-8EAC2B608ADB}">
              <a16:predDERef xmlns:a16="http://schemas.microsoft.com/office/drawing/2014/main" pred="{5C8E8AF0-3C5D-CABD-0390-04270B794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4772025</xdr:colOff>
      <xdr:row>6</xdr:row>
      <xdr:rowOff>9525</xdr:rowOff>
    </xdr:from>
    <xdr:to>
      <xdr:col>4</xdr:col>
      <xdr:colOff>495300</xdr:colOff>
      <xdr:row>20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5CE5A7C-C559-000E-986F-64E510AB122C}"/>
            </a:ext>
            <a:ext uri="{147F2762-F138-4A5C-976F-8EAC2B608ADB}">
              <a16:predDERef xmlns:a16="http://schemas.microsoft.com/office/drawing/2014/main" pred="{05F63277-E1FE-A84E-0657-AB5A05F9C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4772025</xdr:colOff>
      <xdr:row>6</xdr:row>
      <xdr:rowOff>9525</xdr:rowOff>
    </xdr:from>
    <xdr:to>
      <xdr:col>4</xdr:col>
      <xdr:colOff>495300</xdr:colOff>
      <xdr:row>20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4AB446-A8A3-6F7F-2DC3-A5D4A142A2F2}"/>
            </a:ext>
            <a:ext uri="{147F2762-F138-4A5C-976F-8EAC2B608ADB}">
              <a16:predDERef xmlns:a16="http://schemas.microsoft.com/office/drawing/2014/main" pred="{C5CE5A7C-C559-000E-986F-64E510AB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BB70A-4257-4EE0-9A47-E918C5307509}" name="Tabela1" displayName="Tabela1" ref="A1:B2" totalsRowShown="0">
  <autoFilter ref="A1:B2" xr:uid="{AD7BB70A-4257-4EE0-9A47-E918C5307509}"/>
  <tableColumns count="2">
    <tableColumn id="1" xr3:uid="{AA3687BD-DAF2-48E6-8E42-E1B4AD7F1B62}" name="Nome Fantasia:" dataDxfId="57"/>
    <tableColumn id="2" xr3:uid="{ABE57118-301B-421E-B821-16B591B4CECF}" name="Alpha Tecnologia LTDA" dataDxfId="5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839F5D-318D-40D1-94B9-CEB766EA61C3}" name="Tabela2" displayName="Tabela2" ref="A4:G54" totalsRowShown="0">
  <autoFilter ref="A4:G54" xr:uid="{C3839F5D-318D-40D1-94B9-CEB766EA61C3}"/>
  <tableColumns count="7">
    <tableColumn id="1" xr3:uid="{437B6DA6-BC99-4FD5-9917-7FE381624681}" name="Nome" dataDxfId="55"/>
    <tableColumn id="2" xr3:uid="{A0A9FD5E-5B3C-49BC-8AA8-FC76E0BCEE49}" name="Sobrenome" dataDxfId="54"/>
    <tableColumn id="3" xr3:uid="{708BC118-3729-4FFE-9F24-E93DBB9BC252}" name="CPF" dataDxfId="53"/>
    <tableColumn id="4" xr3:uid="{084CF5D9-875D-4490-BCE3-6D184BEDE70C}" name="Endereço" dataDxfId="52"/>
    <tableColumn id="5" xr3:uid="{0F4DF95D-A078-4E72-8AA2-D698771C7D2E}" name="E-mail" dataDxfId="51"/>
    <tableColumn id="6" xr3:uid="{D9DA2D3B-3AD9-4224-B106-E10A19DCACAE}" name="Telefone" dataDxfId="50"/>
    <tableColumn id="7" xr3:uid="{55CEAE05-1948-4DDA-9CD2-BF1794C18C18}" name="Status" dataDxfId="4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CF7228-0E82-482C-B949-A60529F5919D}" name="Tabela4" displayName="Tabela4" ref="F1:G2" totalsRowShown="0" headerRowDxfId="48" dataDxfId="47">
  <autoFilter ref="F1:G2" xr:uid="{78CF7228-0E82-482C-B949-A60529F5919D}"/>
  <tableColumns count="2">
    <tableColumn id="1" xr3:uid="{F60BBCA5-5E90-4842-A8DD-C2F3154F2166}" name="Total &quot;Exposto&quot;" dataDxfId="46">
      <calculatedColumnFormula>COUNTIF(G4:G54,"Exposto")</calculatedColumnFormula>
    </tableColumn>
    <tableColumn id="2" xr3:uid="{6B524A58-8110-48C1-9471-F992DDF18107}" name="Total &quot;OK&quot;" dataDxfId="45">
      <calculatedColumnFormula>COUNTIF(G4:G54,"ok")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2A5943-F83E-4944-AA1C-10973383E85A}" name="Tabela5" displayName="Tabela5" ref="A1:B2" totalsRowShown="0">
  <autoFilter ref="A1:B2" xr:uid="{8A2A5943-F83E-4944-AA1C-10973383E85A}"/>
  <tableColumns count="2">
    <tableColumn id="1" xr3:uid="{36D8DE55-48C7-49D5-8084-05975E099FD2}" name="Nome Fantasia:" dataDxfId="44"/>
    <tableColumn id="2" xr3:uid="{0720F5FB-290D-46C2-9476-5ADE03364737}" name="Beta Soluções SA" dataDxfId="4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111F0D-670B-4808-8B77-F23C17B9809C}" name="Tabela6" displayName="Tabela6" ref="A4:G54" totalsRowShown="0">
  <autoFilter ref="A4:G54" xr:uid="{91111F0D-670B-4808-8B77-F23C17B9809C}"/>
  <tableColumns count="7">
    <tableColumn id="1" xr3:uid="{F98CD628-D93B-4E90-BA3B-AF7C43BD0469}" name="Nome" dataDxfId="42"/>
    <tableColumn id="2" xr3:uid="{A3EB1CE0-0B2A-4177-A464-C5E1E79B6F54}" name="Sobrenome" dataDxfId="41"/>
    <tableColumn id="3" xr3:uid="{4F5EFE85-15E6-434E-8B70-5AF55F8F4076}" name="CPF" dataDxfId="40"/>
    <tableColumn id="4" xr3:uid="{AEAC139C-9637-4074-957F-04DBA3516F12}" name="Endereço" dataDxfId="39"/>
    <tableColumn id="5" xr3:uid="{0485F5FF-AA10-44F9-BC7C-12D8EE204081}" name="E-mail" dataDxfId="38"/>
    <tableColumn id="6" xr3:uid="{967F2EC9-8B9D-4065-B46D-02E6DE31695E}" name="Telefone" dataDxfId="37"/>
    <tableColumn id="7" xr3:uid="{CCF99132-C8F5-445B-801E-82D98D44A429}" name="Status" dataDxfId="3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AF0BF2-444F-4C32-B9D1-B1A7A2C2218D}" name="Tabela11" displayName="Tabela11" ref="F1:G2" totalsRowShown="0" headerRowDxfId="35" dataDxfId="34" tableBorderDxfId="33">
  <autoFilter ref="F1:G2" xr:uid="{F7AF0BF2-444F-4C32-B9D1-B1A7A2C2218D}"/>
  <tableColumns count="2">
    <tableColumn id="1" xr3:uid="{4D0CFDB3-5F85-4C7D-AC29-25F928509756}" name="Total &quot;Exposto&quot;" dataDxfId="32">
      <calculatedColumnFormula>COUNTIF(G4:G54,"Exposto")</calculatedColumnFormula>
    </tableColumn>
    <tableColumn id="2" xr3:uid="{203312AC-1CAA-48C9-A629-3F712DE9830D}" name="Total &quot;OK&quot;" dataDxfId="31">
      <calculatedColumnFormula>COUNTIF(G4:G54,"OK")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1DF755-F029-488B-AD0E-119F44FAD7AF}" name="Tabela7" displayName="Tabela7" ref="A4:G54" totalsRowShown="0">
  <autoFilter ref="A4:G54" xr:uid="{BC1DF755-F029-488B-AD0E-119F44FAD7AF}"/>
  <tableColumns count="7">
    <tableColumn id="1" xr3:uid="{21552AFA-8060-462E-8EB3-2284EC9AED22}" name="Nome" dataDxfId="30"/>
    <tableColumn id="2" xr3:uid="{C062A93C-10DD-4789-9245-DDEA977A5463}" name="Sobrenome" dataDxfId="29"/>
    <tableColumn id="3" xr3:uid="{F3AF675D-DDB2-40E6-8664-B7F369A7FC77}" name="CPF" dataDxfId="28"/>
    <tableColumn id="4" xr3:uid="{59E4DC80-0A2B-4748-AB8C-22C8D4C8570B}" name="Endereço" dataDxfId="27"/>
    <tableColumn id="5" xr3:uid="{D65479B7-829E-4703-AA60-649E59F850F4}" name="E-mail" dataDxfId="26"/>
    <tableColumn id="6" xr3:uid="{9368115E-4E56-4485-B043-3B480DEF9D9C}" name="Telefone" dataDxfId="25"/>
    <tableColumn id="7" xr3:uid="{70E27EC3-D6DD-4149-A756-4025ADAF81E4}" name="Status" dataDxfId="2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A69185-32E9-4B40-B549-E52C650ACB8E}" name="Tabela8" displayName="Tabela8" ref="A1:B2" totalsRowShown="0">
  <autoFilter ref="A1:B2" xr:uid="{4FA69185-32E9-4B40-B549-E52C650ACB8E}"/>
  <tableColumns count="2">
    <tableColumn id="1" xr3:uid="{04CAE1A1-0680-4965-93AB-DFE61D0F88FD}" name="Nome Fantasia:" dataDxfId="23"/>
    <tableColumn id="2" xr3:uid="{B113A34E-7819-4570-A5F3-CD88E5679149}" name="Gamma Serviços ME" dataDxfId="2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34E7F5-E14F-45CD-B829-841F05D5B31E}" name="Tabela12" displayName="Tabela12" ref="F1:G2" totalsRowShown="0" headerRowDxfId="21" dataDxfId="20" tableBorderDxfId="19">
  <autoFilter ref="F1:G2" xr:uid="{F834E7F5-E14F-45CD-B829-841F05D5B31E}"/>
  <tableColumns count="2">
    <tableColumn id="1" xr3:uid="{03876BFA-0F4F-41BE-A958-DDADC3EA58EE}" name="Total &quot;Exposto&quot;" dataDxfId="18">
      <calculatedColumnFormula>COUNTIF(G4:G54,"Exposto")</calculatedColumnFormula>
    </tableColumn>
    <tableColumn id="2" xr3:uid="{8EEB7523-530B-4C2E-802C-CF8ED9F3E06D}" name="Total &quot;OK&quot;" dataDxfId="17">
      <calculatedColumnFormula>COUNTIF(G4:G54,"OK")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3F870-800B-46C9-ABA6-36D7E93D0CB4}" name="Tabela9" displayName="Tabela9" ref="A4:G54" totalsRowShown="0">
  <autoFilter ref="A4:G54" xr:uid="{7E43F870-800B-46C9-ABA6-36D7E93D0CB4}"/>
  <tableColumns count="7">
    <tableColumn id="1" xr3:uid="{F09BB861-4383-44B7-A4E0-F6EAB1AD3048}" name="Nome"/>
    <tableColumn id="2" xr3:uid="{6CC3E88D-6D11-4BBC-A290-B9C265D69DCD}" name="Sobrenome"/>
    <tableColumn id="3" xr3:uid="{61FDF9B3-4B81-4EBD-893E-2EED5FB25404}" name="CPF"/>
    <tableColumn id="4" xr3:uid="{FA0D26D4-3569-486B-825E-6F296A1AA081}" name="Endereço"/>
    <tableColumn id="5" xr3:uid="{8CF9488C-D2CD-45E3-BD3A-9664415CE499}" name="E-mail"/>
    <tableColumn id="6" xr3:uid="{5F0C8A86-AC5F-4EC7-99A5-D1E573CAFC23}" name="Telefone"/>
    <tableColumn id="7" xr3:uid="{6B0FEC64-D5BF-4380-A905-7418E5154ED8}" name="Statu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CE29CE-93C7-4031-9B20-37F6244A78C0}" name="Tabela10" displayName="Tabela10" ref="A1:B2" totalsRowShown="0">
  <autoFilter ref="A1:B2" xr:uid="{9CCE29CE-93C7-4031-9B20-37F6244A78C0}"/>
  <tableColumns count="2">
    <tableColumn id="1" xr3:uid="{56DDE146-E5FC-420C-BAEF-826B631E5970}" name="Nome Fantasia:"/>
    <tableColumn id="2" xr3:uid="{7DCEFFF5-DEB4-4020-AF63-9F36AA4A1A25}" name="Delta Comércio EPP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F72253-86A6-4FCC-A293-AC6293425E4F}" name="Tabela1214" displayName="Tabela1214" ref="F1:G2" totalsRowShown="0" headerRowDxfId="16" dataDxfId="15" tableBorderDxfId="14">
  <autoFilter ref="F1:G2" xr:uid="{5FF72253-86A6-4FCC-A293-AC6293425E4F}"/>
  <tableColumns count="2">
    <tableColumn id="1" xr3:uid="{E6B55EA7-2816-4FF8-8F47-92772A9B1FD6}" name="Total &quot;Exposto&quot;" dataDxfId="13">
      <calculatedColumnFormula>COUNTIF(G4:G54,"Exposto")</calculatedColumnFormula>
    </tableColumn>
    <tableColumn id="2" xr3:uid="{FE7BD5AE-9FA9-439A-965E-51DE55553EC6}" name="Total &quot;OK&quot;" dataDxfId="12">
      <calculatedColumnFormula>COUNTIF(G4:G54,"OK")</calculatedColumnFormula>
    </tableColumn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9EE1F30-373E-4992-A29B-7F29D39A5FB7}" name="Tabela15" displayName="Tabela15" ref="A1:D6" totalsRowCount="1" headerRowDxfId="11" tableBorderDxfId="10">
  <autoFilter ref="A1:D5" xr:uid="{29EE1F30-373E-4992-A29B-7F29D39A5FB7}"/>
  <tableColumns count="4">
    <tableColumn id="1" xr3:uid="{A1F26BCB-3E37-4013-B6C2-AEF775EEAD56}" name="Empresa" totalsRowLabel="Total" dataDxfId="8" totalsRowDxfId="9"/>
    <tableColumn id="2" xr3:uid="{D248A74F-657F-4816-BCAB-56F3D0D62151}" name="Total Usuários" totalsRowFunction="custom" dataDxfId="6" totalsRowDxfId="7">
      <totalsRowFormula>SUM(B2:B5)</totalsRowFormula>
    </tableColumn>
    <tableColumn id="3" xr3:uid="{908C5C51-C027-436A-87E4-363A2047850B}" name="Dados Expostos" totalsRowFunction="custom" dataDxfId="4" totalsRowDxfId="5">
      <totalsRowFormula>SUM(Tabela15[Dados Expostos])</totalsRowFormula>
    </tableColumn>
    <tableColumn id="4" xr3:uid="{B09D0F6D-6831-415A-9A8B-FB2D277CE904}" name="Dados Seguros" totalsRowFunction="custom" dataDxfId="2" totalsRowDxfId="3">
      <totalsRowFormula>SUM(Tabela15[Dados Seguros])</totalsRow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E59D25-C47F-4E89-A81E-A24C9EB08EF0}" name="Tabela3" displayName="Tabela3" ref="A1:C6" totalsRowShown="0">
  <autoFilter ref="A1:C6" xr:uid="{E9E59D25-C47F-4E89-A81E-A24C9EB08EF0}"/>
  <tableColumns count="3">
    <tableColumn id="1" xr3:uid="{EA886906-0113-4CF6-945F-94843267FC5C}" name="cria  um grafico com o total dos usuarios que tiveram suas senhas expostas com base nas planilhas anteriores"/>
    <tableColumn id="2" xr3:uid="{5C9939E3-5FA8-49F9-BAAC-9A6E01A730AE}" name="Total" dataDxfId="1"/>
    <tableColumn id="3" xr3:uid="{2F56C819-C558-46F2-B2DD-4A393006FD6E}" name="OK" dataDxfId="0">
      <calculatedColumnFormula>COUNTIF(C4:C54,"ok")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showGridLines="0" tabSelected="1" workbookViewId="0">
      <selection activeCell="V22" sqref="V22"/>
    </sheetView>
  </sheetViews>
  <sheetFormatPr defaultRowHeight="15"/>
  <cols>
    <col min="1" max="2" width="20.7109375" style="1" customWidth="1"/>
    <col min="3" max="3" width="20.7109375" style="2" customWidth="1"/>
    <col min="4" max="5" width="20.7109375" style="1" customWidth="1"/>
    <col min="6" max="6" width="20.7109375" style="2" customWidth="1"/>
    <col min="7" max="7" width="20.7109375" style="1" customWidth="1"/>
  </cols>
  <sheetData>
    <row r="1" spans="1:7">
      <c r="A1" s="1" t="s">
        <v>0</v>
      </c>
      <c r="B1" s="1" t="s">
        <v>1</v>
      </c>
      <c r="E1" s="8" t="s">
        <v>2</v>
      </c>
      <c r="F1" s="3" t="s">
        <v>3</v>
      </c>
      <c r="G1" s="3" t="s">
        <v>4</v>
      </c>
    </row>
    <row r="2" spans="1:7">
      <c r="A2" s="1" t="s">
        <v>5</v>
      </c>
      <c r="B2" s="1" t="s">
        <v>6</v>
      </c>
      <c r="E2" s="9">
        <f>F2+G2</f>
        <v>50</v>
      </c>
      <c r="F2" s="3">
        <f>COUNTIF(G4:G54,"Exposto")</f>
        <v>30</v>
      </c>
      <c r="G2" s="3">
        <f>COUNTIF(G4:G54,"ok")</f>
        <v>20</v>
      </c>
    </row>
    <row r="4" spans="1:7">
      <c r="A4" s="1" t="s">
        <v>7</v>
      </c>
      <c r="B4" s="1" t="s">
        <v>8</v>
      </c>
      <c r="C4" s="2" t="s">
        <v>9</v>
      </c>
      <c r="D4" s="1" t="s">
        <v>10</v>
      </c>
      <c r="E4" s="1" t="s">
        <v>11</v>
      </c>
      <c r="F4" s="2" t="s">
        <v>12</v>
      </c>
      <c r="G4" s="1" t="s">
        <v>13</v>
      </c>
    </row>
    <row r="5" spans="1:7">
      <c r="A5" s="1" t="s">
        <v>14</v>
      </c>
      <c r="B5" s="1" t="s">
        <v>15</v>
      </c>
      <c r="C5" s="2" t="s">
        <v>16</v>
      </c>
      <c r="D5" s="1" t="s">
        <v>17</v>
      </c>
      <c r="E5" s="1" t="s">
        <v>18</v>
      </c>
      <c r="F5" s="2" t="s">
        <v>19</v>
      </c>
      <c r="G5" s="1" t="s">
        <v>20</v>
      </c>
    </row>
    <row r="6" spans="1:7">
      <c r="A6" s="1" t="s">
        <v>21</v>
      </c>
      <c r="B6" s="1" t="s">
        <v>15</v>
      </c>
      <c r="C6" s="2" t="s">
        <v>22</v>
      </c>
      <c r="D6" s="1" t="s">
        <v>23</v>
      </c>
      <c r="E6" s="1" t="s">
        <v>24</v>
      </c>
      <c r="F6" s="2" t="s">
        <v>25</v>
      </c>
      <c r="G6" s="1" t="s">
        <v>26</v>
      </c>
    </row>
    <row r="7" spans="1:7">
      <c r="A7" s="1" t="s">
        <v>27</v>
      </c>
      <c r="B7" s="1" t="s">
        <v>28</v>
      </c>
      <c r="C7" s="2" t="s">
        <v>29</v>
      </c>
      <c r="D7" s="1" t="s">
        <v>30</v>
      </c>
      <c r="E7" s="1" t="s">
        <v>31</v>
      </c>
      <c r="F7" s="2" t="s">
        <v>32</v>
      </c>
      <c r="G7" s="1" t="s">
        <v>20</v>
      </c>
    </row>
    <row r="8" spans="1:7">
      <c r="A8" s="1" t="s">
        <v>33</v>
      </c>
      <c r="B8" s="1" t="s">
        <v>34</v>
      </c>
      <c r="C8" s="2" t="s">
        <v>35</v>
      </c>
      <c r="D8" s="1" t="s">
        <v>36</v>
      </c>
      <c r="E8" s="1" t="s">
        <v>37</v>
      </c>
      <c r="F8" s="2" t="s">
        <v>38</v>
      </c>
      <c r="G8" s="1" t="s">
        <v>20</v>
      </c>
    </row>
    <row r="9" spans="1:7">
      <c r="A9" s="1" t="s">
        <v>39</v>
      </c>
      <c r="B9" s="1" t="s">
        <v>40</v>
      </c>
      <c r="C9" s="2" t="s">
        <v>41</v>
      </c>
      <c r="D9" s="1" t="s">
        <v>42</v>
      </c>
      <c r="E9" s="1" t="s">
        <v>43</v>
      </c>
      <c r="F9" s="2" t="s">
        <v>44</v>
      </c>
      <c r="G9" s="1" t="s">
        <v>20</v>
      </c>
    </row>
    <row r="10" spans="1:7">
      <c r="A10" s="1" t="s">
        <v>45</v>
      </c>
      <c r="B10" s="1" t="s">
        <v>46</v>
      </c>
      <c r="C10" s="2" t="s">
        <v>47</v>
      </c>
      <c r="D10" s="1" t="s">
        <v>48</v>
      </c>
      <c r="E10" s="1" t="s">
        <v>49</v>
      </c>
      <c r="F10" s="2" t="s">
        <v>50</v>
      </c>
      <c r="G10" s="1" t="s">
        <v>20</v>
      </c>
    </row>
    <row r="11" spans="1:7">
      <c r="A11" s="1" t="s">
        <v>51</v>
      </c>
      <c r="B11" s="1" t="s">
        <v>52</v>
      </c>
      <c r="C11" s="2" t="s">
        <v>53</v>
      </c>
      <c r="D11" s="1" t="s">
        <v>54</v>
      </c>
      <c r="E11" s="1" t="s">
        <v>55</v>
      </c>
      <c r="F11" s="2" t="s">
        <v>56</v>
      </c>
      <c r="G11" s="1" t="s">
        <v>20</v>
      </c>
    </row>
    <row r="12" spans="1:7">
      <c r="A12" s="1" t="s">
        <v>57</v>
      </c>
      <c r="B12" s="1" t="s">
        <v>58</v>
      </c>
      <c r="C12" s="2" t="s">
        <v>59</v>
      </c>
      <c r="D12" s="1" t="s">
        <v>60</v>
      </c>
      <c r="E12" s="1" t="s">
        <v>61</v>
      </c>
      <c r="F12" s="2" t="s">
        <v>62</v>
      </c>
      <c r="G12" s="1" t="s">
        <v>26</v>
      </c>
    </row>
    <row r="13" spans="1:7">
      <c r="A13" s="1" t="s">
        <v>63</v>
      </c>
      <c r="B13" s="1" t="s">
        <v>64</v>
      </c>
      <c r="C13" s="2" t="s">
        <v>65</v>
      </c>
      <c r="D13" s="1" t="s">
        <v>66</v>
      </c>
      <c r="E13" s="1" t="s">
        <v>67</v>
      </c>
      <c r="F13" s="2" t="s">
        <v>68</v>
      </c>
      <c r="G13" s="1" t="s">
        <v>20</v>
      </c>
    </row>
    <row r="14" spans="1:7">
      <c r="A14" s="1" t="s">
        <v>69</v>
      </c>
      <c r="B14" s="1" t="s">
        <v>15</v>
      </c>
      <c r="C14" s="2" t="s">
        <v>70</v>
      </c>
      <c r="D14" s="1" t="s">
        <v>71</v>
      </c>
      <c r="E14" s="1" t="s">
        <v>72</v>
      </c>
      <c r="F14" s="2" t="s">
        <v>73</v>
      </c>
      <c r="G14" s="1" t="s">
        <v>20</v>
      </c>
    </row>
    <row r="15" spans="1:7">
      <c r="A15" s="1" t="s">
        <v>74</v>
      </c>
      <c r="B15" s="1" t="s">
        <v>75</v>
      </c>
      <c r="C15" s="2" t="s">
        <v>76</v>
      </c>
      <c r="D15" s="1" t="s">
        <v>77</v>
      </c>
      <c r="E15" s="1" t="s">
        <v>78</v>
      </c>
      <c r="F15" s="2" t="s">
        <v>79</v>
      </c>
      <c r="G15" s="1" t="s">
        <v>26</v>
      </c>
    </row>
    <row r="16" spans="1:7">
      <c r="A16" s="1" t="s">
        <v>51</v>
      </c>
      <c r="B16" s="1" t="s">
        <v>80</v>
      </c>
      <c r="C16" s="2" t="s">
        <v>81</v>
      </c>
      <c r="D16" s="1" t="s">
        <v>82</v>
      </c>
      <c r="E16" s="1" t="s">
        <v>83</v>
      </c>
      <c r="F16" s="2" t="s">
        <v>84</v>
      </c>
      <c r="G16" s="1" t="s">
        <v>20</v>
      </c>
    </row>
    <row r="17" spans="1:7">
      <c r="A17" s="1" t="s">
        <v>69</v>
      </c>
      <c r="B17" s="1" t="s">
        <v>58</v>
      </c>
      <c r="C17" s="2" t="s">
        <v>85</v>
      </c>
      <c r="D17" s="1" t="s">
        <v>86</v>
      </c>
      <c r="E17" s="1" t="s">
        <v>87</v>
      </c>
      <c r="F17" s="2" t="s">
        <v>88</v>
      </c>
      <c r="G17" s="1" t="s">
        <v>20</v>
      </c>
    </row>
    <row r="18" spans="1:7">
      <c r="A18" s="1" t="s">
        <v>89</v>
      </c>
      <c r="B18" s="1" t="s">
        <v>90</v>
      </c>
      <c r="C18" s="2" t="s">
        <v>91</v>
      </c>
      <c r="D18" s="1" t="s">
        <v>92</v>
      </c>
      <c r="E18" s="1" t="s">
        <v>93</v>
      </c>
      <c r="F18" s="2" t="s">
        <v>94</v>
      </c>
      <c r="G18" s="1" t="s">
        <v>26</v>
      </c>
    </row>
    <row r="19" spans="1:7">
      <c r="A19" s="1" t="s">
        <v>95</v>
      </c>
      <c r="B19" s="1" t="s">
        <v>58</v>
      </c>
      <c r="C19" s="2" t="s">
        <v>96</v>
      </c>
      <c r="D19" s="1" t="s">
        <v>97</v>
      </c>
      <c r="E19" s="1" t="s">
        <v>98</v>
      </c>
      <c r="F19" s="2" t="s">
        <v>99</v>
      </c>
      <c r="G19" s="1" t="s">
        <v>26</v>
      </c>
    </row>
    <row r="20" spans="1:7">
      <c r="A20" s="1" t="s">
        <v>100</v>
      </c>
      <c r="B20" s="1" t="s">
        <v>101</v>
      </c>
      <c r="C20" s="2" t="s">
        <v>102</v>
      </c>
      <c r="D20" s="1" t="s">
        <v>103</v>
      </c>
      <c r="E20" s="1" t="s">
        <v>104</v>
      </c>
      <c r="F20" s="2" t="s">
        <v>105</v>
      </c>
      <c r="G20" s="1" t="s">
        <v>26</v>
      </c>
    </row>
    <row r="21" spans="1:7">
      <c r="A21" s="1" t="s">
        <v>106</v>
      </c>
      <c r="B21" s="1" t="s">
        <v>90</v>
      </c>
      <c r="C21" s="2" t="s">
        <v>107</v>
      </c>
      <c r="D21" s="1" t="s">
        <v>108</v>
      </c>
      <c r="E21" s="1" t="s">
        <v>109</v>
      </c>
      <c r="F21" s="2" t="s">
        <v>110</v>
      </c>
      <c r="G21" s="1" t="s">
        <v>20</v>
      </c>
    </row>
    <row r="22" spans="1:7">
      <c r="A22" s="1" t="s">
        <v>111</v>
      </c>
      <c r="B22" s="1" t="s">
        <v>58</v>
      </c>
      <c r="C22" s="2" t="s">
        <v>112</v>
      </c>
      <c r="D22" s="1" t="s">
        <v>113</v>
      </c>
      <c r="E22" s="1" t="s">
        <v>114</v>
      </c>
      <c r="F22" s="2" t="s">
        <v>115</v>
      </c>
      <c r="G22" s="1" t="s">
        <v>20</v>
      </c>
    </row>
    <row r="23" spans="1:7">
      <c r="A23" s="1" t="s">
        <v>116</v>
      </c>
      <c r="B23" s="1" t="s">
        <v>117</v>
      </c>
      <c r="C23" s="2" t="s">
        <v>118</v>
      </c>
      <c r="D23" s="1" t="s">
        <v>119</v>
      </c>
      <c r="E23" s="1" t="s">
        <v>120</v>
      </c>
      <c r="F23" s="2" t="s">
        <v>121</v>
      </c>
      <c r="G23" s="1" t="s">
        <v>26</v>
      </c>
    </row>
    <row r="24" spans="1:7">
      <c r="A24" s="1" t="s">
        <v>122</v>
      </c>
      <c r="B24" s="1" t="s">
        <v>123</v>
      </c>
      <c r="C24" s="2" t="s">
        <v>124</v>
      </c>
      <c r="D24" s="1" t="s">
        <v>125</v>
      </c>
      <c r="E24" s="1" t="s">
        <v>126</v>
      </c>
      <c r="F24" s="2" t="s">
        <v>127</v>
      </c>
      <c r="G24" s="1" t="s">
        <v>20</v>
      </c>
    </row>
    <row r="25" spans="1:7">
      <c r="A25" s="1" t="s">
        <v>21</v>
      </c>
      <c r="B25" s="1" t="s">
        <v>128</v>
      </c>
      <c r="C25" s="2" t="s">
        <v>129</v>
      </c>
      <c r="D25" s="1" t="s">
        <v>130</v>
      </c>
      <c r="E25" s="1" t="s">
        <v>131</v>
      </c>
      <c r="F25" s="2" t="s">
        <v>132</v>
      </c>
      <c r="G25" s="1" t="s">
        <v>26</v>
      </c>
    </row>
    <row r="26" spans="1:7">
      <c r="A26" s="1" t="s">
        <v>133</v>
      </c>
      <c r="B26" s="1" t="s">
        <v>134</v>
      </c>
      <c r="C26" s="2" t="s">
        <v>135</v>
      </c>
      <c r="D26" s="1" t="s">
        <v>136</v>
      </c>
      <c r="E26" s="1" t="s">
        <v>137</v>
      </c>
      <c r="F26" s="2" t="s">
        <v>138</v>
      </c>
      <c r="G26" s="1" t="s">
        <v>20</v>
      </c>
    </row>
    <row r="27" spans="1:7">
      <c r="A27" s="1" t="s">
        <v>139</v>
      </c>
      <c r="B27" s="1" t="s">
        <v>140</v>
      </c>
      <c r="C27" s="2" t="s">
        <v>141</v>
      </c>
      <c r="D27" s="1" t="s">
        <v>142</v>
      </c>
      <c r="E27" s="1" t="s">
        <v>143</v>
      </c>
      <c r="F27" s="2" t="s">
        <v>144</v>
      </c>
      <c r="G27" s="1" t="s">
        <v>20</v>
      </c>
    </row>
    <row r="28" spans="1:7">
      <c r="A28" s="1" t="s">
        <v>145</v>
      </c>
      <c r="B28" s="1" t="s">
        <v>146</v>
      </c>
      <c r="C28" s="2" t="s">
        <v>147</v>
      </c>
      <c r="D28" s="1" t="s">
        <v>148</v>
      </c>
      <c r="E28" s="1" t="s">
        <v>149</v>
      </c>
      <c r="F28" s="2" t="s">
        <v>150</v>
      </c>
      <c r="G28" s="1" t="s">
        <v>26</v>
      </c>
    </row>
    <row r="29" spans="1:7">
      <c r="A29" s="1" t="s">
        <v>151</v>
      </c>
      <c r="B29" s="1" t="s">
        <v>152</v>
      </c>
      <c r="C29" s="2" t="s">
        <v>153</v>
      </c>
      <c r="D29" s="1" t="s">
        <v>154</v>
      </c>
      <c r="E29" s="1" t="s">
        <v>155</v>
      </c>
      <c r="F29" s="2" t="s">
        <v>156</v>
      </c>
      <c r="G29" s="1" t="s">
        <v>26</v>
      </c>
    </row>
    <row r="30" spans="1:7">
      <c r="A30" s="1" t="s">
        <v>157</v>
      </c>
      <c r="B30" s="1" t="s">
        <v>80</v>
      </c>
      <c r="C30" s="2" t="s">
        <v>158</v>
      </c>
      <c r="D30" s="1" t="s">
        <v>159</v>
      </c>
      <c r="E30" s="1" t="s">
        <v>160</v>
      </c>
      <c r="F30" s="2" t="s">
        <v>161</v>
      </c>
      <c r="G30" s="1" t="s">
        <v>20</v>
      </c>
    </row>
    <row r="31" spans="1:7">
      <c r="A31" s="1" t="s">
        <v>162</v>
      </c>
      <c r="B31" s="1" t="s">
        <v>163</v>
      </c>
      <c r="C31" s="2" t="s">
        <v>164</v>
      </c>
      <c r="D31" s="1" t="s">
        <v>165</v>
      </c>
      <c r="E31" s="1" t="s">
        <v>166</v>
      </c>
      <c r="F31" s="2" t="s">
        <v>167</v>
      </c>
      <c r="G31" s="1" t="s">
        <v>20</v>
      </c>
    </row>
    <row r="32" spans="1:7">
      <c r="A32" s="1" t="s">
        <v>168</v>
      </c>
      <c r="B32" s="1" t="s">
        <v>117</v>
      </c>
      <c r="C32" s="2" t="s">
        <v>169</v>
      </c>
      <c r="D32" s="1" t="s">
        <v>170</v>
      </c>
      <c r="E32" s="1" t="s">
        <v>171</v>
      </c>
      <c r="F32" s="2" t="s">
        <v>172</v>
      </c>
      <c r="G32" s="1" t="s">
        <v>20</v>
      </c>
    </row>
    <row r="33" spans="1:7">
      <c r="A33" s="1" t="s">
        <v>173</v>
      </c>
      <c r="B33" s="1" t="s">
        <v>174</v>
      </c>
      <c r="C33" s="2" t="s">
        <v>175</v>
      </c>
      <c r="D33" s="1" t="s">
        <v>176</v>
      </c>
      <c r="E33" s="1" t="s">
        <v>177</v>
      </c>
      <c r="F33" s="2" t="s">
        <v>178</v>
      </c>
      <c r="G33" s="1" t="s">
        <v>20</v>
      </c>
    </row>
    <row r="34" spans="1:7">
      <c r="A34" s="1" t="s">
        <v>179</v>
      </c>
      <c r="B34" s="1" t="s">
        <v>15</v>
      </c>
      <c r="C34" s="2" t="s">
        <v>180</v>
      </c>
      <c r="D34" s="1" t="s">
        <v>181</v>
      </c>
      <c r="E34" s="1" t="s">
        <v>182</v>
      </c>
      <c r="F34" s="2" t="s">
        <v>183</v>
      </c>
      <c r="G34" s="1" t="s">
        <v>26</v>
      </c>
    </row>
    <row r="35" spans="1:7">
      <c r="A35" s="1" t="s">
        <v>184</v>
      </c>
      <c r="B35" s="1" t="s">
        <v>185</v>
      </c>
      <c r="C35" s="2" t="s">
        <v>186</v>
      </c>
      <c r="D35" s="1" t="s">
        <v>187</v>
      </c>
      <c r="E35" s="1" t="s">
        <v>188</v>
      </c>
      <c r="F35" s="2" t="s">
        <v>189</v>
      </c>
      <c r="G35" s="1" t="s">
        <v>26</v>
      </c>
    </row>
    <row r="36" spans="1:7">
      <c r="A36" s="1" t="s">
        <v>190</v>
      </c>
      <c r="B36" s="1" t="s">
        <v>15</v>
      </c>
      <c r="C36" s="2" t="s">
        <v>191</v>
      </c>
      <c r="D36" s="1" t="s">
        <v>192</v>
      </c>
      <c r="E36" s="1" t="s">
        <v>193</v>
      </c>
      <c r="F36" s="2" t="s">
        <v>194</v>
      </c>
      <c r="G36" s="1" t="s">
        <v>26</v>
      </c>
    </row>
    <row r="37" spans="1:7">
      <c r="A37" s="1" t="s">
        <v>195</v>
      </c>
      <c r="B37" s="1" t="s">
        <v>64</v>
      </c>
      <c r="C37" s="2" t="s">
        <v>196</v>
      </c>
      <c r="D37" s="1" t="s">
        <v>197</v>
      </c>
      <c r="E37" s="1" t="s">
        <v>198</v>
      </c>
      <c r="F37" s="2" t="s">
        <v>199</v>
      </c>
      <c r="G37" s="1" t="s">
        <v>20</v>
      </c>
    </row>
    <row r="38" spans="1:7">
      <c r="A38" s="1" t="s">
        <v>200</v>
      </c>
      <c r="B38" s="1" t="s">
        <v>201</v>
      </c>
      <c r="C38" s="2" t="s">
        <v>202</v>
      </c>
      <c r="D38" s="1" t="s">
        <v>203</v>
      </c>
      <c r="E38" s="1" t="s">
        <v>204</v>
      </c>
      <c r="F38" s="2" t="s">
        <v>205</v>
      </c>
      <c r="G38" s="1" t="s">
        <v>20</v>
      </c>
    </row>
    <row r="39" spans="1:7">
      <c r="A39" s="1" t="s">
        <v>206</v>
      </c>
      <c r="B39" s="1" t="s">
        <v>174</v>
      </c>
      <c r="C39" s="2" t="s">
        <v>207</v>
      </c>
      <c r="D39" s="1" t="s">
        <v>208</v>
      </c>
      <c r="E39" s="1" t="s">
        <v>209</v>
      </c>
      <c r="F39" s="2" t="s">
        <v>210</v>
      </c>
      <c r="G39" s="1" t="s">
        <v>20</v>
      </c>
    </row>
    <row r="40" spans="1:7">
      <c r="A40" s="1" t="s">
        <v>211</v>
      </c>
      <c r="B40" s="1" t="s">
        <v>212</v>
      </c>
      <c r="C40" s="2" t="s">
        <v>213</v>
      </c>
      <c r="D40" s="1" t="s">
        <v>214</v>
      </c>
      <c r="E40" s="1" t="s">
        <v>215</v>
      </c>
      <c r="F40" s="2" t="s">
        <v>216</v>
      </c>
      <c r="G40" s="1" t="s">
        <v>26</v>
      </c>
    </row>
    <row r="41" spans="1:7">
      <c r="A41" s="1" t="s">
        <v>217</v>
      </c>
      <c r="B41" s="1" t="s">
        <v>90</v>
      </c>
      <c r="C41" s="2" t="s">
        <v>218</v>
      </c>
      <c r="D41" s="1" t="s">
        <v>219</v>
      </c>
      <c r="E41" s="1" t="s">
        <v>220</v>
      </c>
      <c r="F41" s="2" t="s">
        <v>221</v>
      </c>
      <c r="G41" s="1" t="s">
        <v>26</v>
      </c>
    </row>
    <row r="42" spans="1:7">
      <c r="A42" s="1" t="s">
        <v>222</v>
      </c>
      <c r="B42" s="1" t="s">
        <v>140</v>
      </c>
      <c r="C42" s="2" t="s">
        <v>223</v>
      </c>
      <c r="D42" s="1" t="s">
        <v>224</v>
      </c>
      <c r="E42" s="1" t="s">
        <v>225</v>
      </c>
      <c r="F42" s="2" t="s">
        <v>226</v>
      </c>
      <c r="G42" s="1" t="s">
        <v>26</v>
      </c>
    </row>
    <row r="43" spans="1:7">
      <c r="A43" s="1" t="s">
        <v>227</v>
      </c>
      <c r="B43" s="1" t="s">
        <v>228</v>
      </c>
      <c r="C43" s="2" t="s">
        <v>229</v>
      </c>
      <c r="D43" s="1" t="s">
        <v>230</v>
      </c>
      <c r="E43" s="1" t="s">
        <v>231</v>
      </c>
      <c r="F43" s="2" t="s">
        <v>232</v>
      </c>
      <c r="G43" s="1" t="s">
        <v>20</v>
      </c>
    </row>
    <row r="44" spans="1:7">
      <c r="A44" s="1" t="s">
        <v>233</v>
      </c>
      <c r="B44" s="1" t="s">
        <v>80</v>
      </c>
      <c r="C44" s="2" t="s">
        <v>234</v>
      </c>
      <c r="D44" s="1" t="s">
        <v>235</v>
      </c>
      <c r="E44" s="1" t="s">
        <v>236</v>
      </c>
      <c r="F44" s="2" t="s">
        <v>237</v>
      </c>
      <c r="G44" s="1" t="s">
        <v>20</v>
      </c>
    </row>
    <row r="45" spans="1:7">
      <c r="A45" s="1" t="s">
        <v>238</v>
      </c>
      <c r="B45" s="1" t="s">
        <v>239</v>
      </c>
      <c r="C45" s="2" t="s">
        <v>240</v>
      </c>
      <c r="D45" s="1" t="s">
        <v>241</v>
      </c>
      <c r="E45" s="1" t="s">
        <v>242</v>
      </c>
      <c r="F45" s="2" t="s">
        <v>243</v>
      </c>
      <c r="G45" s="1" t="s">
        <v>20</v>
      </c>
    </row>
    <row r="46" spans="1:7">
      <c r="A46" s="1" t="s">
        <v>244</v>
      </c>
      <c r="B46" s="1" t="s">
        <v>245</v>
      </c>
      <c r="C46" s="2" t="s">
        <v>246</v>
      </c>
      <c r="D46" s="1" t="s">
        <v>247</v>
      </c>
      <c r="E46" s="1" t="s">
        <v>248</v>
      </c>
      <c r="F46" s="2" t="s">
        <v>249</v>
      </c>
      <c r="G46" s="1" t="s">
        <v>20</v>
      </c>
    </row>
    <row r="47" spans="1:7">
      <c r="A47" s="1" t="s">
        <v>250</v>
      </c>
      <c r="B47" s="1" t="s">
        <v>46</v>
      </c>
      <c r="C47" s="2" t="s">
        <v>251</v>
      </c>
      <c r="D47" s="1" t="s">
        <v>252</v>
      </c>
      <c r="E47" s="1" t="s">
        <v>253</v>
      </c>
      <c r="F47" s="2" t="s">
        <v>254</v>
      </c>
      <c r="G47" s="1" t="s">
        <v>26</v>
      </c>
    </row>
    <row r="48" spans="1:7">
      <c r="A48" s="1" t="s">
        <v>255</v>
      </c>
      <c r="B48" s="1" t="s">
        <v>256</v>
      </c>
      <c r="C48" s="2" t="s">
        <v>257</v>
      </c>
      <c r="D48" s="1" t="s">
        <v>258</v>
      </c>
      <c r="E48" s="1" t="s">
        <v>259</v>
      </c>
      <c r="F48" s="2" t="s">
        <v>260</v>
      </c>
      <c r="G48" s="1" t="s">
        <v>20</v>
      </c>
    </row>
    <row r="49" spans="1:7">
      <c r="A49" s="1" t="s">
        <v>261</v>
      </c>
      <c r="B49" s="1" t="s">
        <v>64</v>
      </c>
      <c r="C49" s="2" t="s">
        <v>262</v>
      </c>
      <c r="D49" s="1" t="s">
        <v>263</v>
      </c>
      <c r="E49" s="1" t="s">
        <v>264</v>
      </c>
      <c r="F49" s="2" t="s">
        <v>265</v>
      </c>
      <c r="G49" s="1" t="s">
        <v>26</v>
      </c>
    </row>
    <row r="50" spans="1:7">
      <c r="A50" s="1" t="s">
        <v>57</v>
      </c>
      <c r="B50" s="1" t="s">
        <v>266</v>
      </c>
      <c r="C50" s="2" t="s">
        <v>267</v>
      </c>
      <c r="D50" s="1" t="s">
        <v>268</v>
      </c>
      <c r="E50" s="1" t="s">
        <v>269</v>
      </c>
      <c r="F50" s="2" t="s">
        <v>270</v>
      </c>
      <c r="G50" s="1" t="s">
        <v>26</v>
      </c>
    </row>
    <row r="51" spans="1:7">
      <c r="A51" s="1" t="s">
        <v>271</v>
      </c>
      <c r="B51" s="1" t="s">
        <v>212</v>
      </c>
      <c r="C51" s="2" t="s">
        <v>272</v>
      </c>
      <c r="D51" s="1" t="s">
        <v>273</v>
      </c>
      <c r="E51" s="1" t="s">
        <v>274</v>
      </c>
      <c r="F51" s="2" t="s">
        <v>275</v>
      </c>
      <c r="G51" s="1" t="s">
        <v>20</v>
      </c>
    </row>
    <row r="52" spans="1:7">
      <c r="A52" s="1" t="s">
        <v>276</v>
      </c>
      <c r="B52" s="1" t="s">
        <v>117</v>
      </c>
      <c r="C52" s="2" t="s">
        <v>277</v>
      </c>
      <c r="D52" s="1" t="s">
        <v>278</v>
      </c>
      <c r="E52" s="1" t="s">
        <v>279</v>
      </c>
      <c r="F52" s="2" t="s">
        <v>280</v>
      </c>
      <c r="G52" s="1" t="s">
        <v>20</v>
      </c>
    </row>
    <row r="53" spans="1:7">
      <c r="A53" s="1" t="s">
        <v>281</v>
      </c>
      <c r="B53" s="1" t="s">
        <v>282</v>
      </c>
      <c r="C53" s="2" t="s">
        <v>283</v>
      </c>
      <c r="D53" s="1" t="s">
        <v>284</v>
      </c>
      <c r="E53" s="1" t="s">
        <v>285</v>
      </c>
      <c r="F53" s="2" t="s">
        <v>286</v>
      </c>
      <c r="G53" s="1" t="s">
        <v>20</v>
      </c>
    </row>
    <row r="54" spans="1:7">
      <c r="A54" s="1" t="s">
        <v>287</v>
      </c>
      <c r="B54" s="1" t="s">
        <v>134</v>
      </c>
      <c r="C54" s="2" t="s">
        <v>288</v>
      </c>
      <c r="D54" s="1" t="s">
        <v>289</v>
      </c>
      <c r="E54" s="1" t="s">
        <v>290</v>
      </c>
      <c r="F54" s="2" t="s">
        <v>291</v>
      </c>
      <c r="G54" s="1" t="s">
        <v>26</v>
      </c>
    </row>
  </sheetData>
  <conditionalFormatting sqref="G5:G54">
    <cfRule type="containsText" dxfId="59" priority="2" operator="containsText" text="Exposto">
      <formula>NOT(ISERROR(SEARCH("Exposto",G5)))</formula>
    </cfRule>
  </conditionalFormatting>
  <conditionalFormatting sqref="G5:G54">
    <cfRule type="cellIs" dxfId="58" priority="1" operator="equal">
      <formula>"Ok"</formula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showGridLines="0" workbookViewId="0">
      <selection activeCell="E2" sqref="E2:G2"/>
    </sheetView>
  </sheetViews>
  <sheetFormatPr defaultRowHeight="15"/>
  <cols>
    <col min="1" max="2" width="20.7109375" style="1" customWidth="1"/>
    <col min="3" max="3" width="20.7109375" style="2" customWidth="1"/>
    <col min="4" max="5" width="20.7109375" style="1" customWidth="1"/>
    <col min="6" max="6" width="20.7109375" style="2" customWidth="1"/>
    <col min="7" max="7" width="20.7109375" style="1" customWidth="1"/>
  </cols>
  <sheetData>
    <row r="1" spans="1:7">
      <c r="A1" s="1" t="s">
        <v>0</v>
      </c>
      <c r="B1" s="1" t="s">
        <v>292</v>
      </c>
      <c r="E1" s="8" t="s">
        <v>2</v>
      </c>
      <c r="F1" s="6" t="s">
        <v>3</v>
      </c>
      <c r="G1" s="7" t="s">
        <v>4</v>
      </c>
    </row>
    <row r="2" spans="1:7">
      <c r="A2" s="1" t="s">
        <v>5</v>
      </c>
      <c r="B2" s="1" t="s">
        <v>293</v>
      </c>
      <c r="E2" s="9">
        <f>F2+G2</f>
        <v>50</v>
      </c>
      <c r="F2" s="5">
        <f>COUNTIF(G4:G54,"Exposto")</f>
        <v>28</v>
      </c>
      <c r="G2" s="5">
        <f>COUNTIF(G4:G54,"OK")</f>
        <v>22</v>
      </c>
    </row>
    <row r="4" spans="1:7">
      <c r="A4" s="1" t="s">
        <v>7</v>
      </c>
      <c r="B4" s="1" t="s">
        <v>8</v>
      </c>
      <c r="C4" s="2" t="s">
        <v>9</v>
      </c>
      <c r="D4" s="1" t="s">
        <v>10</v>
      </c>
      <c r="E4" s="1" t="s">
        <v>11</v>
      </c>
      <c r="F4" s="2" t="s">
        <v>12</v>
      </c>
      <c r="G4" s="1" t="s">
        <v>13</v>
      </c>
    </row>
    <row r="5" spans="1:7">
      <c r="A5" s="1" t="s">
        <v>294</v>
      </c>
      <c r="B5" s="1" t="s">
        <v>295</v>
      </c>
      <c r="C5" s="2" t="s">
        <v>296</v>
      </c>
      <c r="D5" s="1" t="s">
        <v>297</v>
      </c>
      <c r="E5" s="1" t="s">
        <v>298</v>
      </c>
      <c r="F5" s="2" t="s">
        <v>299</v>
      </c>
      <c r="G5" s="1" t="s">
        <v>26</v>
      </c>
    </row>
    <row r="6" spans="1:7">
      <c r="A6" s="1" t="s">
        <v>300</v>
      </c>
      <c r="B6" s="1" t="s">
        <v>301</v>
      </c>
      <c r="C6" s="2" t="s">
        <v>302</v>
      </c>
      <c r="D6" s="1" t="s">
        <v>303</v>
      </c>
      <c r="E6" s="1" t="s">
        <v>304</v>
      </c>
      <c r="F6" s="2" t="s">
        <v>305</v>
      </c>
      <c r="G6" s="1" t="s">
        <v>26</v>
      </c>
    </row>
    <row r="7" spans="1:7">
      <c r="A7" s="1" t="s">
        <v>300</v>
      </c>
      <c r="B7" s="1" t="s">
        <v>212</v>
      </c>
      <c r="C7" s="2" t="s">
        <v>306</v>
      </c>
      <c r="D7" s="1" t="s">
        <v>307</v>
      </c>
      <c r="E7" s="1" t="s">
        <v>308</v>
      </c>
      <c r="F7" s="2" t="s">
        <v>309</v>
      </c>
      <c r="G7" s="1" t="s">
        <v>26</v>
      </c>
    </row>
    <row r="8" spans="1:7">
      <c r="A8" s="1" t="s">
        <v>281</v>
      </c>
      <c r="B8" s="1" t="s">
        <v>201</v>
      </c>
      <c r="C8" s="2" t="s">
        <v>310</v>
      </c>
      <c r="D8" s="1" t="s">
        <v>311</v>
      </c>
      <c r="E8" s="1" t="s">
        <v>312</v>
      </c>
      <c r="F8" s="2" t="s">
        <v>313</v>
      </c>
      <c r="G8" s="1" t="s">
        <v>20</v>
      </c>
    </row>
    <row r="9" spans="1:7">
      <c r="A9" s="1" t="s">
        <v>300</v>
      </c>
      <c r="B9" s="1" t="s">
        <v>201</v>
      </c>
      <c r="C9" s="2" t="s">
        <v>314</v>
      </c>
      <c r="D9" s="1" t="s">
        <v>315</v>
      </c>
      <c r="E9" s="1" t="s">
        <v>316</v>
      </c>
      <c r="F9" s="2" t="s">
        <v>317</v>
      </c>
      <c r="G9" s="1" t="s">
        <v>26</v>
      </c>
    </row>
    <row r="10" spans="1:7">
      <c r="A10" s="1" t="s">
        <v>318</v>
      </c>
      <c r="B10" s="1" t="s">
        <v>90</v>
      </c>
      <c r="C10" s="2" t="s">
        <v>319</v>
      </c>
      <c r="D10" s="1" t="s">
        <v>320</v>
      </c>
      <c r="E10" s="1" t="s">
        <v>321</v>
      </c>
      <c r="F10" s="2" t="s">
        <v>322</v>
      </c>
      <c r="G10" s="1" t="s">
        <v>26</v>
      </c>
    </row>
    <row r="11" spans="1:7">
      <c r="A11" s="1" t="s">
        <v>323</v>
      </c>
      <c r="B11" s="1" t="s">
        <v>15</v>
      </c>
      <c r="C11" s="2" t="s">
        <v>324</v>
      </c>
      <c r="D11" s="1" t="s">
        <v>325</v>
      </c>
      <c r="E11" s="1" t="s">
        <v>326</v>
      </c>
      <c r="F11" s="2" t="s">
        <v>327</v>
      </c>
      <c r="G11" s="1" t="s">
        <v>26</v>
      </c>
    </row>
    <row r="12" spans="1:7">
      <c r="A12" s="1" t="s">
        <v>328</v>
      </c>
      <c r="B12" s="1" t="s">
        <v>256</v>
      </c>
      <c r="C12" s="2" t="s">
        <v>329</v>
      </c>
      <c r="D12" s="1" t="s">
        <v>330</v>
      </c>
      <c r="E12" s="1" t="s">
        <v>331</v>
      </c>
      <c r="F12" s="2" t="s">
        <v>332</v>
      </c>
      <c r="G12" s="1" t="s">
        <v>20</v>
      </c>
    </row>
    <row r="13" spans="1:7">
      <c r="A13" s="1" t="s">
        <v>333</v>
      </c>
      <c r="B13" s="1" t="s">
        <v>334</v>
      </c>
      <c r="C13" s="2" t="s">
        <v>335</v>
      </c>
      <c r="D13" s="1" t="s">
        <v>336</v>
      </c>
      <c r="E13" s="1" t="s">
        <v>337</v>
      </c>
      <c r="F13" s="2" t="s">
        <v>338</v>
      </c>
      <c r="G13" s="1" t="s">
        <v>20</v>
      </c>
    </row>
    <row r="14" spans="1:7">
      <c r="A14" s="1" t="s">
        <v>122</v>
      </c>
      <c r="B14" s="1" t="s">
        <v>339</v>
      </c>
      <c r="C14" s="2" t="s">
        <v>340</v>
      </c>
      <c r="D14" s="1" t="s">
        <v>341</v>
      </c>
      <c r="E14" s="1" t="s">
        <v>342</v>
      </c>
      <c r="F14" s="2" t="s">
        <v>343</v>
      </c>
      <c r="G14" s="1" t="s">
        <v>20</v>
      </c>
    </row>
    <row r="15" spans="1:7">
      <c r="A15" s="1" t="s">
        <v>344</v>
      </c>
      <c r="B15" s="1" t="s">
        <v>345</v>
      </c>
      <c r="C15" s="2" t="s">
        <v>346</v>
      </c>
      <c r="D15" s="1" t="s">
        <v>347</v>
      </c>
      <c r="E15" s="1" t="s">
        <v>348</v>
      </c>
      <c r="F15" s="2" t="s">
        <v>349</v>
      </c>
      <c r="G15" s="1" t="s">
        <v>20</v>
      </c>
    </row>
    <row r="16" spans="1:7">
      <c r="A16" s="1" t="s">
        <v>151</v>
      </c>
      <c r="B16" s="1" t="s">
        <v>350</v>
      </c>
      <c r="C16" s="2" t="s">
        <v>351</v>
      </c>
      <c r="D16" s="1" t="s">
        <v>352</v>
      </c>
      <c r="E16" s="1" t="s">
        <v>353</v>
      </c>
      <c r="F16" s="2" t="s">
        <v>354</v>
      </c>
      <c r="G16" s="1" t="s">
        <v>20</v>
      </c>
    </row>
    <row r="17" spans="1:7">
      <c r="A17" s="1" t="s">
        <v>355</v>
      </c>
      <c r="B17" s="1" t="s">
        <v>356</v>
      </c>
      <c r="C17" s="2" t="s">
        <v>357</v>
      </c>
      <c r="D17" s="1" t="s">
        <v>358</v>
      </c>
      <c r="E17" s="1" t="s">
        <v>359</v>
      </c>
      <c r="F17" s="2" t="s">
        <v>360</v>
      </c>
      <c r="G17" s="1" t="s">
        <v>26</v>
      </c>
    </row>
    <row r="18" spans="1:7">
      <c r="A18" s="1" t="s">
        <v>361</v>
      </c>
      <c r="B18" s="1" t="s">
        <v>362</v>
      </c>
      <c r="C18" s="2" t="s">
        <v>363</v>
      </c>
      <c r="D18" s="1" t="s">
        <v>364</v>
      </c>
      <c r="E18" s="1" t="s">
        <v>365</v>
      </c>
      <c r="F18" s="2" t="s">
        <v>366</v>
      </c>
      <c r="G18" s="1" t="s">
        <v>26</v>
      </c>
    </row>
    <row r="19" spans="1:7">
      <c r="A19" s="1" t="s">
        <v>367</v>
      </c>
      <c r="B19" s="1" t="s">
        <v>368</v>
      </c>
      <c r="C19" s="2" t="s">
        <v>369</v>
      </c>
      <c r="D19" s="1" t="s">
        <v>370</v>
      </c>
      <c r="E19" s="1" t="s">
        <v>371</v>
      </c>
      <c r="F19" s="2" t="s">
        <v>372</v>
      </c>
      <c r="G19" s="1" t="s">
        <v>20</v>
      </c>
    </row>
    <row r="20" spans="1:7">
      <c r="A20" s="1" t="s">
        <v>373</v>
      </c>
      <c r="B20" s="1" t="s">
        <v>123</v>
      </c>
      <c r="C20" s="2" t="s">
        <v>374</v>
      </c>
      <c r="D20" s="1" t="s">
        <v>375</v>
      </c>
      <c r="E20" s="1" t="s">
        <v>376</v>
      </c>
      <c r="F20" s="2" t="s">
        <v>377</v>
      </c>
      <c r="G20" s="1" t="s">
        <v>20</v>
      </c>
    </row>
    <row r="21" spans="1:7">
      <c r="A21" s="1" t="s">
        <v>294</v>
      </c>
      <c r="B21" s="1" t="s">
        <v>101</v>
      </c>
      <c r="C21" s="2" t="s">
        <v>378</v>
      </c>
      <c r="D21" s="1" t="s">
        <v>379</v>
      </c>
      <c r="E21" s="1" t="s">
        <v>380</v>
      </c>
      <c r="F21" s="2" t="s">
        <v>381</v>
      </c>
      <c r="G21" s="1" t="s">
        <v>26</v>
      </c>
    </row>
    <row r="22" spans="1:7">
      <c r="A22" s="1" t="s">
        <v>382</v>
      </c>
      <c r="B22" s="1" t="s">
        <v>383</v>
      </c>
      <c r="C22" s="2" t="s">
        <v>384</v>
      </c>
      <c r="D22" s="1" t="s">
        <v>385</v>
      </c>
      <c r="E22" s="1" t="s">
        <v>386</v>
      </c>
      <c r="F22" s="2" t="s">
        <v>387</v>
      </c>
      <c r="G22" s="1" t="s">
        <v>20</v>
      </c>
    </row>
    <row r="23" spans="1:7">
      <c r="A23" s="1" t="s">
        <v>388</v>
      </c>
      <c r="B23" s="1" t="s">
        <v>28</v>
      </c>
      <c r="C23" s="2" t="s">
        <v>389</v>
      </c>
      <c r="D23" s="1" t="s">
        <v>390</v>
      </c>
      <c r="E23" s="1" t="s">
        <v>391</v>
      </c>
      <c r="F23" s="2" t="s">
        <v>392</v>
      </c>
      <c r="G23" s="1" t="s">
        <v>26</v>
      </c>
    </row>
    <row r="24" spans="1:7">
      <c r="A24" s="1" t="s">
        <v>393</v>
      </c>
      <c r="B24" s="1" t="s">
        <v>394</v>
      </c>
      <c r="C24" s="2" t="s">
        <v>395</v>
      </c>
      <c r="D24" s="1" t="s">
        <v>396</v>
      </c>
      <c r="E24" s="1" t="s">
        <v>397</v>
      </c>
      <c r="F24" s="2" t="s">
        <v>398</v>
      </c>
      <c r="G24" s="1" t="s">
        <v>20</v>
      </c>
    </row>
    <row r="25" spans="1:7">
      <c r="A25" s="1" t="s">
        <v>179</v>
      </c>
      <c r="B25" s="1" t="s">
        <v>201</v>
      </c>
      <c r="C25" s="2" t="s">
        <v>399</v>
      </c>
      <c r="D25" s="1" t="s">
        <v>400</v>
      </c>
      <c r="E25" s="1" t="s">
        <v>401</v>
      </c>
      <c r="F25" s="2" t="s">
        <v>402</v>
      </c>
      <c r="G25" s="1" t="s">
        <v>20</v>
      </c>
    </row>
    <row r="26" spans="1:7">
      <c r="A26" s="1" t="s">
        <v>403</v>
      </c>
      <c r="B26" s="1" t="s">
        <v>40</v>
      </c>
      <c r="C26" s="2" t="s">
        <v>404</v>
      </c>
      <c r="D26" s="1" t="s">
        <v>405</v>
      </c>
      <c r="E26" s="1" t="s">
        <v>406</v>
      </c>
      <c r="F26" s="2" t="s">
        <v>407</v>
      </c>
      <c r="G26" s="1" t="s">
        <v>26</v>
      </c>
    </row>
    <row r="27" spans="1:7">
      <c r="A27" s="1" t="s">
        <v>408</v>
      </c>
      <c r="B27" s="1" t="s">
        <v>409</v>
      </c>
      <c r="C27" s="2" t="s">
        <v>410</v>
      </c>
      <c r="D27" s="1" t="s">
        <v>411</v>
      </c>
      <c r="E27" s="1" t="s">
        <v>412</v>
      </c>
      <c r="F27" s="2" t="s">
        <v>413</v>
      </c>
      <c r="G27" s="1" t="s">
        <v>20</v>
      </c>
    </row>
    <row r="28" spans="1:7">
      <c r="A28" s="1" t="s">
        <v>39</v>
      </c>
      <c r="B28" s="1" t="s">
        <v>282</v>
      </c>
      <c r="C28" s="2" t="s">
        <v>414</v>
      </c>
      <c r="D28" s="1" t="s">
        <v>415</v>
      </c>
      <c r="E28" s="1" t="s">
        <v>416</v>
      </c>
      <c r="F28" s="2" t="s">
        <v>417</v>
      </c>
      <c r="G28" s="1" t="s">
        <v>26</v>
      </c>
    </row>
    <row r="29" spans="1:7">
      <c r="A29" s="1" t="s">
        <v>418</v>
      </c>
      <c r="B29" s="1" t="s">
        <v>212</v>
      </c>
      <c r="C29" s="2" t="s">
        <v>419</v>
      </c>
      <c r="D29" s="1" t="s">
        <v>420</v>
      </c>
      <c r="E29" s="1" t="s">
        <v>421</v>
      </c>
      <c r="F29" s="2" t="s">
        <v>422</v>
      </c>
      <c r="G29" s="1" t="s">
        <v>20</v>
      </c>
    </row>
    <row r="30" spans="1:7">
      <c r="A30" s="1" t="s">
        <v>423</v>
      </c>
      <c r="B30" s="1" t="s">
        <v>146</v>
      </c>
      <c r="C30" s="2" t="s">
        <v>424</v>
      </c>
      <c r="D30" s="1" t="s">
        <v>425</v>
      </c>
      <c r="E30" s="1" t="s">
        <v>426</v>
      </c>
      <c r="F30" s="2" t="s">
        <v>427</v>
      </c>
      <c r="G30" s="1" t="s">
        <v>26</v>
      </c>
    </row>
    <row r="31" spans="1:7">
      <c r="A31" s="1" t="s">
        <v>250</v>
      </c>
      <c r="B31" s="1" t="s">
        <v>117</v>
      </c>
      <c r="C31" s="2" t="s">
        <v>428</v>
      </c>
      <c r="D31" s="1" t="s">
        <v>429</v>
      </c>
      <c r="E31" s="1" t="s">
        <v>430</v>
      </c>
      <c r="F31" s="2" t="s">
        <v>431</v>
      </c>
      <c r="G31" s="1" t="s">
        <v>26</v>
      </c>
    </row>
    <row r="32" spans="1:7">
      <c r="A32" s="1" t="s">
        <v>116</v>
      </c>
      <c r="B32" s="1" t="s">
        <v>432</v>
      </c>
      <c r="C32" s="2" t="s">
        <v>433</v>
      </c>
      <c r="D32" s="1" t="s">
        <v>434</v>
      </c>
      <c r="E32" s="1" t="s">
        <v>435</v>
      </c>
      <c r="F32" s="2" t="s">
        <v>436</v>
      </c>
      <c r="G32" s="1" t="s">
        <v>20</v>
      </c>
    </row>
    <row r="33" spans="1:7">
      <c r="A33" s="1" t="s">
        <v>437</v>
      </c>
      <c r="B33" s="1" t="s">
        <v>28</v>
      </c>
      <c r="C33" s="2" t="s">
        <v>438</v>
      </c>
      <c r="D33" s="1" t="s">
        <v>439</v>
      </c>
      <c r="E33" s="1" t="s">
        <v>440</v>
      </c>
      <c r="F33" s="2" t="s">
        <v>441</v>
      </c>
      <c r="G33" s="1" t="s">
        <v>20</v>
      </c>
    </row>
    <row r="34" spans="1:7">
      <c r="A34" s="1" t="s">
        <v>442</v>
      </c>
      <c r="B34" s="1" t="s">
        <v>362</v>
      </c>
      <c r="C34" s="2" t="s">
        <v>443</v>
      </c>
      <c r="D34" s="1" t="s">
        <v>444</v>
      </c>
      <c r="E34" s="1" t="s">
        <v>445</v>
      </c>
      <c r="F34" s="2" t="s">
        <v>446</v>
      </c>
      <c r="G34" s="1" t="s">
        <v>20</v>
      </c>
    </row>
    <row r="35" spans="1:7">
      <c r="A35" s="1" t="s">
        <v>447</v>
      </c>
      <c r="B35" s="1" t="s">
        <v>448</v>
      </c>
      <c r="C35" s="2" t="s">
        <v>449</v>
      </c>
      <c r="D35" s="1" t="s">
        <v>450</v>
      </c>
      <c r="E35" s="1" t="s">
        <v>451</v>
      </c>
      <c r="F35" s="2" t="s">
        <v>452</v>
      </c>
      <c r="G35" s="1" t="s">
        <v>20</v>
      </c>
    </row>
    <row r="36" spans="1:7">
      <c r="A36" s="1" t="s">
        <v>382</v>
      </c>
      <c r="B36" s="1" t="s">
        <v>212</v>
      </c>
      <c r="C36" s="2" t="s">
        <v>453</v>
      </c>
      <c r="D36" s="1" t="s">
        <v>454</v>
      </c>
      <c r="E36" s="1" t="s">
        <v>455</v>
      </c>
      <c r="F36" s="2" t="s">
        <v>456</v>
      </c>
      <c r="G36" s="1" t="s">
        <v>20</v>
      </c>
    </row>
    <row r="37" spans="1:7">
      <c r="A37" s="1" t="s">
        <v>217</v>
      </c>
      <c r="B37" s="1" t="s">
        <v>28</v>
      </c>
      <c r="C37" s="2" t="s">
        <v>457</v>
      </c>
      <c r="D37" s="1" t="s">
        <v>458</v>
      </c>
      <c r="E37" s="1" t="s">
        <v>459</v>
      </c>
      <c r="F37" s="2" t="s">
        <v>460</v>
      </c>
      <c r="G37" s="1" t="s">
        <v>26</v>
      </c>
    </row>
    <row r="38" spans="1:7">
      <c r="A38" s="1" t="s">
        <v>461</v>
      </c>
      <c r="B38" s="1" t="s">
        <v>462</v>
      </c>
      <c r="C38" s="2" t="s">
        <v>463</v>
      </c>
      <c r="D38" s="1" t="s">
        <v>464</v>
      </c>
      <c r="E38" s="1" t="s">
        <v>465</v>
      </c>
      <c r="F38" s="2" t="s">
        <v>466</v>
      </c>
      <c r="G38" s="1" t="s">
        <v>26</v>
      </c>
    </row>
    <row r="39" spans="1:7">
      <c r="A39" s="1" t="s">
        <v>190</v>
      </c>
      <c r="B39" s="1" t="s">
        <v>467</v>
      </c>
      <c r="C39" s="2" t="s">
        <v>468</v>
      </c>
      <c r="D39" s="1" t="s">
        <v>469</v>
      </c>
      <c r="E39" s="1" t="s">
        <v>470</v>
      </c>
      <c r="F39" s="2" t="s">
        <v>471</v>
      </c>
      <c r="G39" s="1" t="s">
        <v>26</v>
      </c>
    </row>
    <row r="40" spans="1:7">
      <c r="A40" s="1" t="s">
        <v>333</v>
      </c>
      <c r="B40" s="1" t="s">
        <v>472</v>
      </c>
      <c r="C40" s="2" t="s">
        <v>473</v>
      </c>
      <c r="D40" s="1" t="s">
        <v>474</v>
      </c>
      <c r="E40" s="1" t="s">
        <v>475</v>
      </c>
      <c r="F40" s="2" t="s">
        <v>476</v>
      </c>
      <c r="G40" s="1" t="s">
        <v>26</v>
      </c>
    </row>
    <row r="41" spans="1:7">
      <c r="A41" s="1" t="s">
        <v>477</v>
      </c>
      <c r="B41" s="1" t="s">
        <v>478</v>
      </c>
      <c r="C41" s="2" t="s">
        <v>479</v>
      </c>
      <c r="D41" s="1" t="s">
        <v>480</v>
      </c>
      <c r="E41" s="1" t="s">
        <v>481</v>
      </c>
      <c r="F41" s="2" t="s">
        <v>482</v>
      </c>
      <c r="G41" s="1" t="s">
        <v>20</v>
      </c>
    </row>
    <row r="42" spans="1:7">
      <c r="A42" s="1" t="s">
        <v>483</v>
      </c>
      <c r="B42" s="1" t="s">
        <v>201</v>
      </c>
      <c r="C42" s="2" t="s">
        <v>484</v>
      </c>
      <c r="D42" s="1" t="s">
        <v>485</v>
      </c>
      <c r="E42" s="1" t="s">
        <v>486</v>
      </c>
      <c r="F42" s="2" t="s">
        <v>487</v>
      </c>
      <c r="G42" s="1" t="s">
        <v>20</v>
      </c>
    </row>
    <row r="43" spans="1:7">
      <c r="A43" s="1" t="s">
        <v>367</v>
      </c>
      <c r="B43" s="1" t="s">
        <v>488</v>
      </c>
      <c r="C43" s="2" t="s">
        <v>489</v>
      </c>
      <c r="D43" s="1" t="s">
        <v>490</v>
      </c>
      <c r="E43" s="1" t="s">
        <v>491</v>
      </c>
      <c r="F43" s="2" t="s">
        <v>492</v>
      </c>
      <c r="G43" s="1" t="s">
        <v>20</v>
      </c>
    </row>
    <row r="44" spans="1:7">
      <c r="A44" s="1" t="s">
        <v>493</v>
      </c>
      <c r="B44" s="1" t="s">
        <v>64</v>
      </c>
      <c r="C44" s="2" t="s">
        <v>494</v>
      </c>
      <c r="D44" s="1" t="s">
        <v>495</v>
      </c>
      <c r="E44" s="1" t="s">
        <v>496</v>
      </c>
      <c r="F44" s="2" t="s">
        <v>497</v>
      </c>
      <c r="G44" s="1" t="s">
        <v>26</v>
      </c>
    </row>
    <row r="45" spans="1:7">
      <c r="A45" s="1" t="s">
        <v>498</v>
      </c>
      <c r="B45" s="1" t="s">
        <v>499</v>
      </c>
      <c r="C45" s="2" t="s">
        <v>500</v>
      </c>
      <c r="D45" s="1" t="s">
        <v>501</v>
      </c>
      <c r="E45" s="1" t="s">
        <v>502</v>
      </c>
      <c r="F45" s="2" t="s">
        <v>503</v>
      </c>
      <c r="G45" s="1" t="s">
        <v>20</v>
      </c>
    </row>
    <row r="46" spans="1:7">
      <c r="A46" s="1" t="s">
        <v>294</v>
      </c>
      <c r="B46" s="1" t="s">
        <v>295</v>
      </c>
      <c r="C46" s="2" t="s">
        <v>504</v>
      </c>
      <c r="D46" s="1" t="s">
        <v>505</v>
      </c>
      <c r="E46" s="1" t="s">
        <v>506</v>
      </c>
      <c r="F46" s="2" t="s">
        <v>507</v>
      </c>
      <c r="G46" s="1" t="s">
        <v>20</v>
      </c>
    </row>
    <row r="47" spans="1:7">
      <c r="A47" s="1" t="s">
        <v>508</v>
      </c>
      <c r="B47" s="1" t="s">
        <v>334</v>
      </c>
      <c r="C47" s="2" t="s">
        <v>509</v>
      </c>
      <c r="D47" s="1" t="s">
        <v>510</v>
      </c>
      <c r="E47" s="1" t="s">
        <v>511</v>
      </c>
      <c r="F47" s="2" t="s">
        <v>512</v>
      </c>
      <c r="G47" s="1" t="s">
        <v>26</v>
      </c>
    </row>
    <row r="48" spans="1:7">
      <c r="A48" s="1" t="s">
        <v>513</v>
      </c>
      <c r="B48" s="1" t="s">
        <v>46</v>
      </c>
      <c r="C48" s="2" t="s">
        <v>514</v>
      </c>
      <c r="D48" s="1" t="s">
        <v>515</v>
      </c>
      <c r="E48" s="1" t="s">
        <v>516</v>
      </c>
      <c r="F48" s="2" t="s">
        <v>517</v>
      </c>
      <c r="G48" s="1" t="s">
        <v>20</v>
      </c>
    </row>
    <row r="49" spans="1:7">
      <c r="A49" s="1" t="s">
        <v>518</v>
      </c>
      <c r="B49" s="1" t="s">
        <v>90</v>
      </c>
      <c r="C49" s="2" t="s">
        <v>519</v>
      </c>
      <c r="D49" s="1" t="s">
        <v>520</v>
      </c>
      <c r="E49" s="1" t="s">
        <v>521</v>
      </c>
      <c r="F49" s="2" t="s">
        <v>522</v>
      </c>
      <c r="G49" s="1" t="s">
        <v>26</v>
      </c>
    </row>
    <row r="50" spans="1:7">
      <c r="A50" s="1" t="s">
        <v>523</v>
      </c>
      <c r="B50" s="1" t="s">
        <v>174</v>
      </c>
      <c r="C50" s="2" t="s">
        <v>524</v>
      </c>
      <c r="D50" s="1" t="s">
        <v>525</v>
      </c>
      <c r="E50" s="1" t="s">
        <v>526</v>
      </c>
      <c r="F50" s="2" t="s">
        <v>527</v>
      </c>
      <c r="G50" s="1" t="s">
        <v>20</v>
      </c>
    </row>
    <row r="51" spans="1:7">
      <c r="A51" s="1" t="s">
        <v>39</v>
      </c>
      <c r="B51" s="1" t="s">
        <v>528</v>
      </c>
      <c r="C51" s="2" t="s">
        <v>529</v>
      </c>
      <c r="D51" s="1" t="s">
        <v>530</v>
      </c>
      <c r="E51" s="1" t="s">
        <v>531</v>
      </c>
      <c r="F51" s="2" t="s">
        <v>532</v>
      </c>
      <c r="G51" s="1" t="s">
        <v>20</v>
      </c>
    </row>
    <row r="52" spans="1:7">
      <c r="A52" s="1" t="s">
        <v>533</v>
      </c>
      <c r="B52" s="1" t="s">
        <v>534</v>
      </c>
      <c r="C52" s="2" t="s">
        <v>535</v>
      </c>
      <c r="D52" s="1" t="s">
        <v>536</v>
      </c>
      <c r="E52" s="1" t="s">
        <v>537</v>
      </c>
      <c r="F52" s="2" t="s">
        <v>538</v>
      </c>
      <c r="G52" s="1" t="s">
        <v>26</v>
      </c>
    </row>
    <row r="53" spans="1:7">
      <c r="A53" s="1" t="s">
        <v>261</v>
      </c>
      <c r="B53" s="1" t="s">
        <v>462</v>
      </c>
      <c r="C53" s="2" t="s">
        <v>539</v>
      </c>
      <c r="D53" s="1" t="s">
        <v>540</v>
      </c>
      <c r="E53" s="1" t="s">
        <v>541</v>
      </c>
      <c r="F53" s="2" t="s">
        <v>542</v>
      </c>
      <c r="G53" s="1" t="s">
        <v>20</v>
      </c>
    </row>
    <row r="54" spans="1:7">
      <c r="A54" s="1" t="s">
        <v>543</v>
      </c>
      <c r="B54" s="1" t="s">
        <v>448</v>
      </c>
      <c r="C54" s="2" t="s">
        <v>544</v>
      </c>
      <c r="D54" s="1" t="s">
        <v>545</v>
      </c>
      <c r="E54" s="1" t="s">
        <v>546</v>
      </c>
      <c r="F54" s="2" t="s">
        <v>547</v>
      </c>
      <c r="G54" s="1" t="s">
        <v>20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showGridLines="0" workbookViewId="0">
      <selection activeCell="E2" sqref="E2:G2"/>
    </sheetView>
  </sheetViews>
  <sheetFormatPr defaultRowHeight="15"/>
  <cols>
    <col min="1" max="2" width="20.7109375" style="1" customWidth="1"/>
    <col min="3" max="3" width="20.7109375" style="2" customWidth="1"/>
    <col min="4" max="5" width="20.7109375" style="1" customWidth="1"/>
    <col min="6" max="6" width="20.7109375" style="2" customWidth="1"/>
    <col min="7" max="7" width="20.7109375" style="1" customWidth="1"/>
  </cols>
  <sheetData>
    <row r="1" spans="1:7">
      <c r="A1" s="1" t="s">
        <v>0</v>
      </c>
      <c r="B1" s="1" t="s">
        <v>548</v>
      </c>
      <c r="E1" s="8" t="s">
        <v>2</v>
      </c>
      <c r="F1" s="6" t="s">
        <v>3</v>
      </c>
      <c r="G1" s="7" t="s">
        <v>4</v>
      </c>
    </row>
    <row r="2" spans="1:7">
      <c r="A2" s="1" t="s">
        <v>5</v>
      </c>
      <c r="B2" s="1" t="s">
        <v>549</v>
      </c>
      <c r="E2" s="9">
        <f>F2+G2</f>
        <v>50</v>
      </c>
      <c r="F2" s="5">
        <f>COUNTIF(G4:G54,"Exposto")</f>
        <v>25</v>
      </c>
      <c r="G2" s="5">
        <f>COUNTIF(G4:G54,"OK")</f>
        <v>25</v>
      </c>
    </row>
    <row r="3" spans="1:7">
      <c r="G3" s="1" t="s">
        <v>550</v>
      </c>
    </row>
    <row r="4" spans="1:7">
      <c r="A4" s="1" t="s">
        <v>7</v>
      </c>
      <c r="B4" s="1" t="s">
        <v>8</v>
      </c>
      <c r="C4" s="2" t="s">
        <v>9</v>
      </c>
      <c r="D4" s="1" t="s">
        <v>10</v>
      </c>
      <c r="E4" s="1" t="s">
        <v>11</v>
      </c>
      <c r="F4" s="2" t="s">
        <v>12</v>
      </c>
      <c r="G4" s="1" t="s">
        <v>13</v>
      </c>
    </row>
    <row r="5" spans="1:7">
      <c r="A5" s="1" t="s">
        <v>551</v>
      </c>
      <c r="B5" s="1" t="s">
        <v>185</v>
      </c>
      <c r="C5" s="2" t="s">
        <v>552</v>
      </c>
      <c r="D5" s="1" t="s">
        <v>553</v>
      </c>
      <c r="E5" s="1" t="s">
        <v>554</v>
      </c>
      <c r="F5" s="2" t="s">
        <v>555</v>
      </c>
      <c r="G5" s="1" t="s">
        <v>20</v>
      </c>
    </row>
    <row r="6" spans="1:7">
      <c r="A6" s="1" t="s">
        <v>556</v>
      </c>
      <c r="B6" s="1" t="s">
        <v>557</v>
      </c>
      <c r="C6" s="2" t="s">
        <v>558</v>
      </c>
      <c r="D6" s="1" t="s">
        <v>559</v>
      </c>
      <c r="E6" s="1" t="s">
        <v>560</v>
      </c>
      <c r="F6" s="2" t="s">
        <v>561</v>
      </c>
      <c r="G6" s="1" t="s">
        <v>26</v>
      </c>
    </row>
    <row r="7" spans="1:7">
      <c r="A7" s="1" t="s">
        <v>151</v>
      </c>
      <c r="B7" s="1" t="s">
        <v>562</v>
      </c>
      <c r="C7" s="2" t="s">
        <v>563</v>
      </c>
      <c r="D7" s="1" t="s">
        <v>564</v>
      </c>
      <c r="E7" s="1" t="s">
        <v>565</v>
      </c>
      <c r="F7" s="2" t="s">
        <v>566</v>
      </c>
      <c r="G7" s="1" t="s">
        <v>26</v>
      </c>
    </row>
    <row r="8" spans="1:7">
      <c r="A8" s="1" t="s">
        <v>21</v>
      </c>
      <c r="B8" s="1" t="s">
        <v>339</v>
      </c>
      <c r="C8" s="2" t="s">
        <v>567</v>
      </c>
      <c r="D8" s="1" t="s">
        <v>568</v>
      </c>
      <c r="E8" s="1" t="s">
        <v>569</v>
      </c>
      <c r="F8" s="2" t="s">
        <v>570</v>
      </c>
      <c r="G8" s="1" t="s">
        <v>26</v>
      </c>
    </row>
    <row r="9" spans="1:7">
      <c r="A9" s="1" t="s">
        <v>571</v>
      </c>
      <c r="B9" s="1" t="s">
        <v>152</v>
      </c>
      <c r="C9" s="2" t="s">
        <v>572</v>
      </c>
      <c r="D9" s="1" t="s">
        <v>573</v>
      </c>
      <c r="E9" s="1" t="s">
        <v>574</v>
      </c>
      <c r="F9" s="2" t="s">
        <v>575</v>
      </c>
      <c r="G9" s="1" t="s">
        <v>20</v>
      </c>
    </row>
    <row r="10" spans="1:7">
      <c r="A10" s="1" t="s">
        <v>576</v>
      </c>
      <c r="B10" s="1" t="s">
        <v>409</v>
      </c>
      <c r="C10" s="2" t="s">
        <v>577</v>
      </c>
      <c r="D10" s="1" t="s">
        <v>578</v>
      </c>
      <c r="E10" s="1" t="s">
        <v>579</v>
      </c>
      <c r="F10" s="2" t="s">
        <v>580</v>
      </c>
      <c r="G10" s="1" t="s">
        <v>26</v>
      </c>
    </row>
    <row r="11" spans="1:7">
      <c r="A11" s="1" t="s">
        <v>206</v>
      </c>
      <c r="B11" s="1" t="s">
        <v>581</v>
      </c>
      <c r="C11" s="2" t="s">
        <v>582</v>
      </c>
      <c r="D11" s="1" t="s">
        <v>583</v>
      </c>
      <c r="E11" s="1" t="s">
        <v>584</v>
      </c>
      <c r="F11" s="2" t="s">
        <v>585</v>
      </c>
      <c r="G11" s="1" t="s">
        <v>20</v>
      </c>
    </row>
    <row r="12" spans="1:7">
      <c r="A12" s="1" t="s">
        <v>586</v>
      </c>
      <c r="B12" s="1" t="s">
        <v>212</v>
      </c>
      <c r="C12" s="2" t="s">
        <v>587</v>
      </c>
      <c r="D12" s="1" t="s">
        <v>588</v>
      </c>
      <c r="E12" s="1" t="s">
        <v>589</v>
      </c>
      <c r="F12" s="2" t="s">
        <v>590</v>
      </c>
      <c r="G12" s="1" t="s">
        <v>26</v>
      </c>
    </row>
    <row r="13" spans="1:7">
      <c r="A13" s="1" t="s">
        <v>591</v>
      </c>
      <c r="B13" s="1" t="s">
        <v>128</v>
      </c>
      <c r="C13" s="2" t="s">
        <v>592</v>
      </c>
      <c r="D13" s="1" t="s">
        <v>593</v>
      </c>
      <c r="E13" s="1" t="s">
        <v>594</v>
      </c>
      <c r="F13" s="2" t="s">
        <v>595</v>
      </c>
      <c r="G13" s="1" t="s">
        <v>26</v>
      </c>
    </row>
    <row r="14" spans="1:7">
      <c r="A14" s="1" t="s">
        <v>596</v>
      </c>
      <c r="B14" s="1" t="s">
        <v>362</v>
      </c>
      <c r="C14" s="2" t="s">
        <v>597</v>
      </c>
      <c r="D14" s="1" t="s">
        <v>598</v>
      </c>
      <c r="E14" s="1" t="s">
        <v>599</v>
      </c>
      <c r="F14" s="2" t="s">
        <v>600</v>
      </c>
      <c r="G14" s="1" t="s">
        <v>26</v>
      </c>
    </row>
    <row r="15" spans="1:7">
      <c r="A15" s="1" t="s">
        <v>601</v>
      </c>
      <c r="B15" s="1" t="s">
        <v>383</v>
      </c>
      <c r="C15" s="2" t="s">
        <v>602</v>
      </c>
      <c r="D15" s="1" t="s">
        <v>603</v>
      </c>
      <c r="E15" s="1" t="s">
        <v>604</v>
      </c>
      <c r="F15" s="2" t="s">
        <v>605</v>
      </c>
      <c r="G15" s="1" t="s">
        <v>26</v>
      </c>
    </row>
    <row r="16" spans="1:7">
      <c r="A16" s="1" t="s">
        <v>606</v>
      </c>
      <c r="B16" s="1" t="s">
        <v>607</v>
      </c>
      <c r="C16" s="2" t="s">
        <v>608</v>
      </c>
      <c r="D16" s="1" t="s">
        <v>609</v>
      </c>
      <c r="E16" s="1" t="s">
        <v>610</v>
      </c>
      <c r="F16" s="2" t="s">
        <v>611</v>
      </c>
      <c r="G16" s="1" t="s">
        <v>20</v>
      </c>
    </row>
    <row r="17" spans="1:7">
      <c r="A17" s="1" t="s">
        <v>116</v>
      </c>
      <c r="B17" s="1" t="s">
        <v>301</v>
      </c>
      <c r="C17" s="2" t="s">
        <v>612</v>
      </c>
      <c r="D17" s="1" t="s">
        <v>613</v>
      </c>
      <c r="E17" s="1" t="s">
        <v>614</v>
      </c>
      <c r="F17" s="2" t="s">
        <v>615</v>
      </c>
      <c r="G17" s="1" t="s">
        <v>26</v>
      </c>
    </row>
    <row r="18" spans="1:7">
      <c r="A18" s="1" t="s">
        <v>616</v>
      </c>
      <c r="B18" s="1" t="s">
        <v>562</v>
      </c>
      <c r="C18" s="2" t="s">
        <v>617</v>
      </c>
      <c r="D18" s="1" t="s">
        <v>618</v>
      </c>
      <c r="E18" s="1" t="s">
        <v>619</v>
      </c>
      <c r="F18" s="2" t="s">
        <v>620</v>
      </c>
      <c r="G18" s="1" t="s">
        <v>20</v>
      </c>
    </row>
    <row r="19" spans="1:7">
      <c r="A19" s="1" t="s">
        <v>621</v>
      </c>
      <c r="B19" s="1" t="s">
        <v>301</v>
      </c>
      <c r="C19" s="2" t="s">
        <v>622</v>
      </c>
      <c r="D19" s="1" t="s">
        <v>623</v>
      </c>
      <c r="E19" s="1" t="s">
        <v>624</v>
      </c>
      <c r="F19" s="2" t="s">
        <v>625</v>
      </c>
      <c r="G19" s="1" t="s">
        <v>20</v>
      </c>
    </row>
    <row r="20" spans="1:7">
      <c r="A20" s="1" t="s">
        <v>211</v>
      </c>
      <c r="B20" s="1" t="s">
        <v>626</v>
      </c>
      <c r="C20" s="2" t="s">
        <v>627</v>
      </c>
      <c r="D20" s="1" t="s">
        <v>628</v>
      </c>
      <c r="E20" s="1" t="s">
        <v>629</v>
      </c>
      <c r="F20" s="2" t="s">
        <v>630</v>
      </c>
      <c r="G20" s="1" t="s">
        <v>26</v>
      </c>
    </row>
    <row r="21" spans="1:7">
      <c r="A21" s="1" t="s">
        <v>631</v>
      </c>
      <c r="B21" s="1" t="s">
        <v>394</v>
      </c>
      <c r="C21" s="2" t="s">
        <v>632</v>
      </c>
      <c r="D21" s="1" t="s">
        <v>633</v>
      </c>
      <c r="E21" s="1" t="s">
        <v>634</v>
      </c>
      <c r="F21" s="2" t="s">
        <v>635</v>
      </c>
      <c r="G21" s="1" t="s">
        <v>26</v>
      </c>
    </row>
    <row r="22" spans="1:7">
      <c r="A22" s="1" t="s">
        <v>636</v>
      </c>
      <c r="B22" s="1" t="s">
        <v>472</v>
      </c>
      <c r="C22" s="2" t="s">
        <v>637</v>
      </c>
      <c r="D22" s="1" t="s">
        <v>638</v>
      </c>
      <c r="E22" s="1" t="s">
        <v>639</v>
      </c>
      <c r="F22" s="2" t="s">
        <v>640</v>
      </c>
      <c r="G22" s="1" t="s">
        <v>20</v>
      </c>
    </row>
    <row r="23" spans="1:7">
      <c r="A23" s="1" t="s">
        <v>641</v>
      </c>
      <c r="B23" s="1" t="s">
        <v>642</v>
      </c>
      <c r="C23" s="2" t="s">
        <v>643</v>
      </c>
      <c r="D23" s="1" t="s">
        <v>644</v>
      </c>
      <c r="E23" s="1" t="s">
        <v>645</v>
      </c>
      <c r="F23" s="2" t="s">
        <v>646</v>
      </c>
      <c r="G23" s="1" t="s">
        <v>26</v>
      </c>
    </row>
    <row r="24" spans="1:7">
      <c r="A24" s="1" t="s">
        <v>145</v>
      </c>
      <c r="B24" s="1" t="s">
        <v>409</v>
      </c>
      <c r="C24" s="2" t="s">
        <v>647</v>
      </c>
      <c r="D24" s="1" t="s">
        <v>648</v>
      </c>
      <c r="E24" s="1" t="s">
        <v>649</v>
      </c>
      <c r="F24" s="2" t="s">
        <v>650</v>
      </c>
      <c r="G24" s="1" t="s">
        <v>20</v>
      </c>
    </row>
    <row r="25" spans="1:7">
      <c r="A25" s="1" t="s">
        <v>631</v>
      </c>
      <c r="B25" s="1" t="s">
        <v>651</v>
      </c>
      <c r="C25" s="2" t="s">
        <v>652</v>
      </c>
      <c r="D25" s="1" t="s">
        <v>653</v>
      </c>
      <c r="E25" s="1" t="s">
        <v>654</v>
      </c>
      <c r="F25" s="2" t="s">
        <v>655</v>
      </c>
      <c r="G25" s="1" t="s">
        <v>26</v>
      </c>
    </row>
    <row r="26" spans="1:7">
      <c r="A26" s="1" t="s">
        <v>656</v>
      </c>
      <c r="B26" s="1" t="s">
        <v>626</v>
      </c>
      <c r="C26" s="2" t="s">
        <v>657</v>
      </c>
      <c r="D26" s="1" t="s">
        <v>658</v>
      </c>
      <c r="E26" s="1" t="s">
        <v>659</v>
      </c>
      <c r="F26" s="2" t="s">
        <v>660</v>
      </c>
      <c r="G26" s="1" t="s">
        <v>26</v>
      </c>
    </row>
    <row r="27" spans="1:7">
      <c r="A27" s="1" t="s">
        <v>661</v>
      </c>
      <c r="B27" s="1" t="s">
        <v>212</v>
      </c>
      <c r="C27" s="2" t="s">
        <v>662</v>
      </c>
      <c r="D27" s="1" t="s">
        <v>663</v>
      </c>
      <c r="E27" s="1" t="s">
        <v>664</v>
      </c>
      <c r="F27" s="2" t="s">
        <v>665</v>
      </c>
      <c r="G27" s="1" t="s">
        <v>26</v>
      </c>
    </row>
    <row r="28" spans="1:7">
      <c r="A28" s="1" t="s">
        <v>666</v>
      </c>
      <c r="B28" s="1" t="s">
        <v>295</v>
      </c>
      <c r="C28" s="2" t="s">
        <v>667</v>
      </c>
      <c r="D28" s="1" t="s">
        <v>668</v>
      </c>
      <c r="E28" s="1" t="s">
        <v>669</v>
      </c>
      <c r="F28" s="2" t="s">
        <v>670</v>
      </c>
      <c r="G28" s="1" t="s">
        <v>20</v>
      </c>
    </row>
    <row r="29" spans="1:7">
      <c r="A29" s="1" t="s">
        <v>671</v>
      </c>
      <c r="B29" s="1" t="s">
        <v>201</v>
      </c>
      <c r="C29" s="2" t="s">
        <v>672</v>
      </c>
      <c r="D29" s="1" t="s">
        <v>673</v>
      </c>
      <c r="E29" s="1" t="s">
        <v>674</v>
      </c>
      <c r="F29" s="2" t="s">
        <v>675</v>
      </c>
      <c r="G29" s="1" t="s">
        <v>20</v>
      </c>
    </row>
    <row r="30" spans="1:7">
      <c r="A30" s="1" t="s">
        <v>631</v>
      </c>
      <c r="B30" s="1" t="s">
        <v>383</v>
      </c>
      <c r="C30" s="2" t="s">
        <v>676</v>
      </c>
      <c r="D30" s="1" t="s">
        <v>677</v>
      </c>
      <c r="E30" s="1" t="s">
        <v>678</v>
      </c>
      <c r="F30" s="2" t="s">
        <v>679</v>
      </c>
      <c r="G30" s="1" t="s">
        <v>26</v>
      </c>
    </row>
    <row r="31" spans="1:7">
      <c r="A31" s="1" t="s">
        <v>680</v>
      </c>
      <c r="B31" s="1" t="s">
        <v>117</v>
      </c>
      <c r="C31" s="2" t="s">
        <v>681</v>
      </c>
      <c r="D31" s="1" t="s">
        <v>682</v>
      </c>
      <c r="E31" s="1" t="s">
        <v>683</v>
      </c>
      <c r="F31" s="2" t="s">
        <v>684</v>
      </c>
      <c r="G31" s="1" t="s">
        <v>20</v>
      </c>
    </row>
    <row r="32" spans="1:7">
      <c r="A32" s="1" t="s">
        <v>318</v>
      </c>
      <c r="B32" s="1" t="s">
        <v>685</v>
      </c>
      <c r="C32" s="2" t="s">
        <v>686</v>
      </c>
      <c r="D32" s="1" t="s">
        <v>687</v>
      </c>
      <c r="E32" s="1" t="s">
        <v>688</v>
      </c>
      <c r="F32" s="2" t="s">
        <v>689</v>
      </c>
      <c r="G32" s="1" t="s">
        <v>20</v>
      </c>
    </row>
    <row r="33" spans="1:7">
      <c r="A33" s="1" t="s">
        <v>328</v>
      </c>
      <c r="B33" s="1" t="s">
        <v>685</v>
      </c>
      <c r="C33" s="2" t="s">
        <v>690</v>
      </c>
      <c r="D33" s="1" t="s">
        <v>691</v>
      </c>
      <c r="E33" s="1" t="s">
        <v>692</v>
      </c>
      <c r="F33" s="2" t="s">
        <v>693</v>
      </c>
      <c r="G33" s="1" t="s">
        <v>26</v>
      </c>
    </row>
    <row r="34" spans="1:7">
      <c r="A34" s="1" t="s">
        <v>694</v>
      </c>
      <c r="B34" s="1" t="s">
        <v>334</v>
      </c>
      <c r="C34" s="2" t="s">
        <v>695</v>
      </c>
      <c r="D34" s="1" t="s">
        <v>696</v>
      </c>
      <c r="E34" s="1" t="s">
        <v>697</v>
      </c>
      <c r="F34" s="2" t="s">
        <v>698</v>
      </c>
      <c r="G34" s="1" t="s">
        <v>26</v>
      </c>
    </row>
    <row r="35" spans="1:7">
      <c r="A35" s="1" t="s">
        <v>699</v>
      </c>
      <c r="B35" s="1" t="s">
        <v>101</v>
      </c>
      <c r="C35" s="2" t="s">
        <v>700</v>
      </c>
      <c r="D35" s="1" t="s">
        <v>701</v>
      </c>
      <c r="E35" s="1" t="s">
        <v>702</v>
      </c>
      <c r="F35" s="2" t="s">
        <v>703</v>
      </c>
      <c r="G35" s="1" t="s">
        <v>26</v>
      </c>
    </row>
    <row r="36" spans="1:7">
      <c r="A36" s="1" t="s">
        <v>27</v>
      </c>
      <c r="B36" s="1" t="s">
        <v>80</v>
      </c>
      <c r="C36" s="2" t="s">
        <v>704</v>
      </c>
      <c r="D36" s="1" t="s">
        <v>705</v>
      </c>
      <c r="E36" s="1" t="s">
        <v>706</v>
      </c>
      <c r="F36" s="2" t="s">
        <v>707</v>
      </c>
      <c r="G36" s="1" t="s">
        <v>20</v>
      </c>
    </row>
    <row r="37" spans="1:7">
      <c r="A37" s="1" t="s">
        <v>393</v>
      </c>
      <c r="B37" s="1" t="s">
        <v>174</v>
      </c>
      <c r="C37" s="2" t="s">
        <v>708</v>
      </c>
      <c r="D37" s="1" t="s">
        <v>709</v>
      </c>
      <c r="E37" s="1" t="s">
        <v>710</v>
      </c>
      <c r="F37" s="2" t="s">
        <v>711</v>
      </c>
      <c r="G37" s="1" t="s">
        <v>26</v>
      </c>
    </row>
    <row r="38" spans="1:7">
      <c r="A38" s="1" t="s">
        <v>712</v>
      </c>
      <c r="B38" s="1" t="s">
        <v>345</v>
      </c>
      <c r="C38" s="2" t="s">
        <v>713</v>
      </c>
      <c r="D38" s="1" t="s">
        <v>714</v>
      </c>
      <c r="E38" s="1" t="s">
        <v>715</v>
      </c>
      <c r="F38" s="2" t="s">
        <v>716</v>
      </c>
      <c r="G38" s="1" t="s">
        <v>20</v>
      </c>
    </row>
    <row r="39" spans="1:7">
      <c r="A39" s="1" t="s">
        <v>666</v>
      </c>
      <c r="B39" s="1" t="s">
        <v>607</v>
      </c>
      <c r="C39" s="2" t="s">
        <v>717</v>
      </c>
      <c r="D39" s="1" t="s">
        <v>718</v>
      </c>
      <c r="E39" s="1" t="s">
        <v>719</v>
      </c>
      <c r="F39" s="2" t="s">
        <v>720</v>
      </c>
      <c r="G39" s="1" t="s">
        <v>20</v>
      </c>
    </row>
    <row r="40" spans="1:7">
      <c r="A40" s="1" t="s">
        <v>606</v>
      </c>
      <c r="B40" s="1" t="s">
        <v>462</v>
      </c>
      <c r="C40" s="2" t="s">
        <v>721</v>
      </c>
      <c r="D40" s="1" t="s">
        <v>722</v>
      </c>
      <c r="E40" s="1" t="s">
        <v>723</v>
      </c>
      <c r="F40" s="2" t="s">
        <v>724</v>
      </c>
      <c r="G40" s="1" t="s">
        <v>20</v>
      </c>
    </row>
    <row r="41" spans="1:7">
      <c r="A41" s="1" t="s">
        <v>100</v>
      </c>
      <c r="B41" s="1" t="s">
        <v>725</v>
      </c>
      <c r="C41" s="2" t="s">
        <v>726</v>
      </c>
      <c r="D41" s="1" t="s">
        <v>727</v>
      </c>
      <c r="E41" s="1" t="s">
        <v>728</v>
      </c>
      <c r="F41" s="2" t="s">
        <v>729</v>
      </c>
      <c r="G41" s="1" t="s">
        <v>20</v>
      </c>
    </row>
    <row r="42" spans="1:7">
      <c r="A42" s="1" t="s">
        <v>382</v>
      </c>
      <c r="B42" s="1" t="s">
        <v>730</v>
      </c>
      <c r="C42" s="2" t="s">
        <v>731</v>
      </c>
      <c r="D42" s="1" t="s">
        <v>732</v>
      </c>
      <c r="E42" s="1" t="s">
        <v>733</v>
      </c>
      <c r="F42" s="2" t="s">
        <v>734</v>
      </c>
      <c r="G42" s="1" t="s">
        <v>20</v>
      </c>
    </row>
    <row r="43" spans="1:7">
      <c r="A43" s="1" t="s">
        <v>287</v>
      </c>
      <c r="B43" s="1" t="s">
        <v>478</v>
      </c>
      <c r="C43" s="2" t="s">
        <v>735</v>
      </c>
      <c r="D43" s="1" t="s">
        <v>736</v>
      </c>
      <c r="E43" s="1" t="s">
        <v>737</v>
      </c>
      <c r="F43" s="2" t="s">
        <v>738</v>
      </c>
      <c r="G43" s="1" t="s">
        <v>26</v>
      </c>
    </row>
    <row r="44" spans="1:7">
      <c r="A44" s="1" t="s">
        <v>106</v>
      </c>
      <c r="B44" s="1" t="s">
        <v>334</v>
      </c>
      <c r="C44" s="2" t="s">
        <v>739</v>
      </c>
      <c r="D44" s="1" t="s">
        <v>740</v>
      </c>
      <c r="E44" s="1" t="s">
        <v>741</v>
      </c>
      <c r="F44" s="2" t="s">
        <v>742</v>
      </c>
      <c r="G44" s="1" t="s">
        <v>20</v>
      </c>
    </row>
    <row r="45" spans="1:7">
      <c r="A45" s="1" t="s">
        <v>743</v>
      </c>
      <c r="B45" s="1" t="s">
        <v>46</v>
      </c>
      <c r="C45" s="2" t="s">
        <v>744</v>
      </c>
      <c r="D45" s="1" t="s">
        <v>745</v>
      </c>
      <c r="E45" s="1" t="s">
        <v>746</v>
      </c>
      <c r="F45" s="2" t="s">
        <v>747</v>
      </c>
      <c r="G45" s="1" t="s">
        <v>20</v>
      </c>
    </row>
    <row r="46" spans="1:7">
      <c r="A46" s="1" t="s">
        <v>393</v>
      </c>
      <c r="B46" s="1" t="s">
        <v>383</v>
      </c>
      <c r="C46" s="2" t="s">
        <v>748</v>
      </c>
      <c r="D46" s="1" t="s">
        <v>749</v>
      </c>
      <c r="E46" s="1" t="s">
        <v>750</v>
      </c>
      <c r="F46" s="2" t="s">
        <v>751</v>
      </c>
      <c r="G46" s="1" t="s">
        <v>26</v>
      </c>
    </row>
    <row r="47" spans="1:7">
      <c r="A47" s="1" t="s">
        <v>518</v>
      </c>
      <c r="B47" s="1" t="s">
        <v>752</v>
      </c>
      <c r="C47" s="2" t="s">
        <v>753</v>
      </c>
      <c r="D47" s="1" t="s">
        <v>754</v>
      </c>
      <c r="E47" s="1" t="s">
        <v>755</v>
      </c>
      <c r="F47" s="2" t="s">
        <v>756</v>
      </c>
      <c r="G47" s="1" t="s">
        <v>20</v>
      </c>
    </row>
    <row r="48" spans="1:7">
      <c r="A48" s="1" t="s">
        <v>757</v>
      </c>
      <c r="B48" s="1" t="s">
        <v>642</v>
      </c>
      <c r="C48" s="2" t="s">
        <v>758</v>
      </c>
      <c r="D48" s="1" t="s">
        <v>759</v>
      </c>
      <c r="E48" s="1" t="s">
        <v>760</v>
      </c>
      <c r="F48" s="2" t="s">
        <v>761</v>
      </c>
      <c r="G48" s="1" t="s">
        <v>20</v>
      </c>
    </row>
    <row r="49" spans="1:7">
      <c r="A49" s="1" t="s">
        <v>168</v>
      </c>
      <c r="B49" s="1" t="s">
        <v>730</v>
      </c>
      <c r="C49" s="2" t="s">
        <v>762</v>
      </c>
      <c r="D49" s="1" t="s">
        <v>763</v>
      </c>
      <c r="E49" s="1" t="s">
        <v>764</v>
      </c>
      <c r="F49" s="2" t="s">
        <v>765</v>
      </c>
      <c r="G49" s="1" t="s">
        <v>20</v>
      </c>
    </row>
    <row r="50" spans="1:7">
      <c r="A50" s="1" t="s">
        <v>766</v>
      </c>
      <c r="B50" s="1" t="s">
        <v>488</v>
      </c>
      <c r="C50" s="2" t="s">
        <v>767</v>
      </c>
      <c r="D50" s="1" t="s">
        <v>768</v>
      </c>
      <c r="E50" s="1" t="s">
        <v>769</v>
      </c>
      <c r="F50" s="2" t="s">
        <v>770</v>
      </c>
      <c r="G50" s="1" t="s">
        <v>26</v>
      </c>
    </row>
    <row r="51" spans="1:7">
      <c r="A51" s="1" t="s">
        <v>323</v>
      </c>
      <c r="B51" s="1" t="s">
        <v>730</v>
      </c>
      <c r="C51" s="2" t="s">
        <v>771</v>
      </c>
      <c r="D51" s="1" t="s">
        <v>772</v>
      </c>
      <c r="E51" s="1" t="s">
        <v>773</v>
      </c>
      <c r="F51" s="2" t="s">
        <v>774</v>
      </c>
      <c r="G51" s="1" t="s">
        <v>20</v>
      </c>
    </row>
    <row r="52" spans="1:7">
      <c r="A52" s="1" t="s">
        <v>775</v>
      </c>
      <c r="B52" s="1" t="s">
        <v>350</v>
      </c>
      <c r="C52" s="2" t="s">
        <v>776</v>
      </c>
      <c r="D52" s="1" t="s">
        <v>777</v>
      </c>
      <c r="E52" s="1" t="s">
        <v>778</v>
      </c>
      <c r="F52" s="2" t="s">
        <v>779</v>
      </c>
      <c r="G52" s="1" t="s">
        <v>26</v>
      </c>
    </row>
    <row r="53" spans="1:7">
      <c r="A53" s="1" t="s">
        <v>596</v>
      </c>
      <c r="B53" s="1" t="s">
        <v>46</v>
      </c>
      <c r="C53" s="2" t="s">
        <v>780</v>
      </c>
      <c r="D53" s="1" t="s">
        <v>781</v>
      </c>
      <c r="E53" s="1" t="s">
        <v>782</v>
      </c>
      <c r="F53" s="2" t="s">
        <v>783</v>
      </c>
      <c r="G53" s="1" t="s">
        <v>26</v>
      </c>
    </row>
    <row r="54" spans="1:7">
      <c r="A54" s="1" t="s">
        <v>784</v>
      </c>
      <c r="B54" s="1" t="s">
        <v>499</v>
      </c>
      <c r="C54" s="2" t="s">
        <v>785</v>
      </c>
      <c r="D54" s="1" t="s">
        <v>786</v>
      </c>
      <c r="E54" s="1" t="s">
        <v>787</v>
      </c>
      <c r="F54" s="2" t="s">
        <v>788</v>
      </c>
      <c r="G54" s="1" t="s">
        <v>20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showGridLines="0" workbookViewId="0">
      <selection activeCell="E2" sqref="E2:G2"/>
    </sheetView>
  </sheetViews>
  <sheetFormatPr defaultRowHeight="15"/>
  <cols>
    <col min="1" max="7" width="20.7109375" customWidth="1"/>
  </cols>
  <sheetData>
    <row r="1" spans="1:7">
      <c r="A1" t="s">
        <v>0</v>
      </c>
      <c r="B1" t="s">
        <v>789</v>
      </c>
      <c r="E1" s="8" t="s">
        <v>2</v>
      </c>
      <c r="F1" s="6" t="s">
        <v>3</v>
      </c>
      <c r="G1" s="7" t="s">
        <v>4</v>
      </c>
    </row>
    <row r="2" spans="1:7">
      <c r="A2" t="s">
        <v>5</v>
      </c>
      <c r="B2" t="s">
        <v>790</v>
      </c>
      <c r="E2" s="9">
        <f>F2+G2</f>
        <v>50</v>
      </c>
      <c r="F2" s="5">
        <f>COUNTIF(G4:G54,"Exposto")</f>
        <v>22</v>
      </c>
      <c r="G2" s="5">
        <f>COUNTIF(G4:G54,"OK")</f>
        <v>28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791</v>
      </c>
      <c r="B5" t="s">
        <v>792</v>
      </c>
      <c r="C5" t="s">
        <v>793</v>
      </c>
      <c r="D5" t="s">
        <v>794</v>
      </c>
      <c r="E5" t="s">
        <v>795</v>
      </c>
      <c r="F5" t="s">
        <v>796</v>
      </c>
      <c r="G5" t="s">
        <v>26</v>
      </c>
    </row>
    <row r="6" spans="1:7">
      <c r="A6" t="s">
        <v>190</v>
      </c>
      <c r="B6" t="s">
        <v>797</v>
      </c>
      <c r="C6" t="s">
        <v>798</v>
      </c>
      <c r="D6" t="s">
        <v>799</v>
      </c>
      <c r="E6" t="s">
        <v>800</v>
      </c>
      <c r="F6" t="s">
        <v>801</v>
      </c>
      <c r="G6" t="s">
        <v>26</v>
      </c>
    </row>
    <row r="7" spans="1:7">
      <c r="A7" t="s">
        <v>323</v>
      </c>
      <c r="B7" t="s">
        <v>362</v>
      </c>
      <c r="C7" t="s">
        <v>802</v>
      </c>
      <c r="D7" t="s">
        <v>803</v>
      </c>
      <c r="E7" t="s">
        <v>804</v>
      </c>
      <c r="F7" t="s">
        <v>805</v>
      </c>
      <c r="G7" t="s">
        <v>26</v>
      </c>
    </row>
    <row r="8" spans="1:7">
      <c r="A8" t="s">
        <v>806</v>
      </c>
      <c r="B8" t="s">
        <v>462</v>
      </c>
      <c r="C8" t="s">
        <v>807</v>
      </c>
      <c r="D8" t="s">
        <v>808</v>
      </c>
      <c r="E8" t="s">
        <v>809</v>
      </c>
      <c r="F8" t="s">
        <v>810</v>
      </c>
      <c r="G8" t="s">
        <v>26</v>
      </c>
    </row>
    <row r="9" spans="1:7">
      <c r="A9" t="s">
        <v>238</v>
      </c>
      <c r="B9" t="s">
        <v>488</v>
      </c>
      <c r="C9" t="s">
        <v>811</v>
      </c>
      <c r="D9" t="s">
        <v>812</v>
      </c>
      <c r="E9" t="s">
        <v>813</v>
      </c>
      <c r="F9" t="s">
        <v>814</v>
      </c>
      <c r="G9" t="s">
        <v>20</v>
      </c>
    </row>
    <row r="10" spans="1:7">
      <c r="A10" t="s">
        <v>261</v>
      </c>
      <c r="B10" t="s">
        <v>28</v>
      </c>
      <c r="C10" t="s">
        <v>815</v>
      </c>
      <c r="D10" t="s">
        <v>816</v>
      </c>
      <c r="E10" t="s">
        <v>817</v>
      </c>
      <c r="F10" t="s">
        <v>818</v>
      </c>
      <c r="G10" t="s">
        <v>20</v>
      </c>
    </row>
    <row r="11" spans="1:7">
      <c r="A11" t="s">
        <v>294</v>
      </c>
      <c r="B11" t="s">
        <v>128</v>
      </c>
      <c r="C11" t="s">
        <v>819</v>
      </c>
      <c r="D11" t="s">
        <v>820</v>
      </c>
      <c r="E11" t="s">
        <v>821</v>
      </c>
      <c r="F11" t="s">
        <v>822</v>
      </c>
      <c r="G11" t="s">
        <v>20</v>
      </c>
    </row>
    <row r="12" spans="1:7">
      <c r="A12" t="s">
        <v>823</v>
      </c>
      <c r="B12" t="s">
        <v>607</v>
      </c>
      <c r="C12" t="s">
        <v>824</v>
      </c>
      <c r="D12" t="s">
        <v>825</v>
      </c>
      <c r="E12" t="s">
        <v>826</v>
      </c>
      <c r="F12" t="s">
        <v>827</v>
      </c>
      <c r="G12" t="s">
        <v>26</v>
      </c>
    </row>
    <row r="13" spans="1:7">
      <c r="A13" t="s">
        <v>382</v>
      </c>
      <c r="B13" t="s">
        <v>472</v>
      </c>
      <c r="C13" t="s">
        <v>828</v>
      </c>
      <c r="D13" t="s">
        <v>829</v>
      </c>
      <c r="E13" t="s">
        <v>830</v>
      </c>
      <c r="F13" t="s">
        <v>831</v>
      </c>
      <c r="G13" t="s">
        <v>26</v>
      </c>
    </row>
    <row r="14" spans="1:7">
      <c r="A14" t="s">
        <v>403</v>
      </c>
      <c r="B14" t="s">
        <v>101</v>
      </c>
      <c r="C14" t="s">
        <v>832</v>
      </c>
      <c r="D14" t="s">
        <v>833</v>
      </c>
      <c r="E14" t="s">
        <v>834</v>
      </c>
      <c r="F14" t="s">
        <v>835</v>
      </c>
      <c r="G14" t="s">
        <v>26</v>
      </c>
    </row>
    <row r="15" spans="1:7">
      <c r="A15" t="s">
        <v>836</v>
      </c>
      <c r="B15" t="s">
        <v>185</v>
      </c>
      <c r="C15" t="s">
        <v>837</v>
      </c>
      <c r="D15" t="s">
        <v>838</v>
      </c>
      <c r="E15" t="s">
        <v>839</v>
      </c>
      <c r="F15" t="s">
        <v>840</v>
      </c>
      <c r="G15" t="s">
        <v>20</v>
      </c>
    </row>
    <row r="16" spans="1:7">
      <c r="A16" t="s">
        <v>393</v>
      </c>
      <c r="B16" t="s">
        <v>350</v>
      </c>
      <c r="C16" t="s">
        <v>841</v>
      </c>
      <c r="D16" t="s">
        <v>842</v>
      </c>
      <c r="E16" t="s">
        <v>843</v>
      </c>
      <c r="F16" t="s">
        <v>844</v>
      </c>
      <c r="G16" t="s">
        <v>26</v>
      </c>
    </row>
    <row r="17" spans="1:7">
      <c r="A17" t="s">
        <v>845</v>
      </c>
      <c r="B17" t="s">
        <v>301</v>
      </c>
      <c r="C17" t="s">
        <v>846</v>
      </c>
      <c r="D17" t="s">
        <v>847</v>
      </c>
      <c r="E17" t="s">
        <v>848</v>
      </c>
      <c r="F17" t="s">
        <v>849</v>
      </c>
      <c r="G17" t="s">
        <v>20</v>
      </c>
    </row>
    <row r="18" spans="1:7">
      <c r="A18" t="s">
        <v>576</v>
      </c>
      <c r="B18" t="s">
        <v>80</v>
      </c>
      <c r="C18" t="s">
        <v>850</v>
      </c>
      <c r="D18" t="s">
        <v>851</v>
      </c>
      <c r="E18" t="s">
        <v>852</v>
      </c>
      <c r="F18" t="s">
        <v>853</v>
      </c>
      <c r="G18" t="s">
        <v>26</v>
      </c>
    </row>
    <row r="19" spans="1:7">
      <c r="A19" t="s">
        <v>854</v>
      </c>
      <c r="B19" t="s">
        <v>462</v>
      </c>
      <c r="C19" t="s">
        <v>855</v>
      </c>
      <c r="D19" t="s">
        <v>856</v>
      </c>
      <c r="E19" t="s">
        <v>857</v>
      </c>
      <c r="F19" t="s">
        <v>858</v>
      </c>
      <c r="G19" t="s">
        <v>26</v>
      </c>
    </row>
    <row r="20" spans="1:7">
      <c r="A20" t="s">
        <v>859</v>
      </c>
      <c r="B20" t="s">
        <v>185</v>
      </c>
      <c r="C20" t="s">
        <v>860</v>
      </c>
      <c r="D20" t="s">
        <v>861</v>
      </c>
      <c r="E20" t="s">
        <v>862</v>
      </c>
      <c r="F20" t="s">
        <v>863</v>
      </c>
      <c r="G20" t="s">
        <v>26</v>
      </c>
    </row>
    <row r="21" spans="1:7">
      <c r="A21" t="s">
        <v>864</v>
      </c>
      <c r="B21" t="s">
        <v>146</v>
      </c>
      <c r="C21" t="s">
        <v>865</v>
      </c>
      <c r="D21" t="s">
        <v>866</v>
      </c>
      <c r="E21" t="s">
        <v>867</v>
      </c>
      <c r="F21" t="s">
        <v>868</v>
      </c>
      <c r="G21" t="s">
        <v>26</v>
      </c>
    </row>
    <row r="22" spans="1:7">
      <c r="A22" t="s">
        <v>596</v>
      </c>
      <c r="B22" t="s">
        <v>607</v>
      </c>
      <c r="C22" t="s">
        <v>869</v>
      </c>
      <c r="D22" t="s">
        <v>870</v>
      </c>
      <c r="E22" t="s">
        <v>871</v>
      </c>
      <c r="F22" t="s">
        <v>872</v>
      </c>
      <c r="G22" t="s">
        <v>26</v>
      </c>
    </row>
    <row r="23" spans="1:7">
      <c r="A23" t="s">
        <v>206</v>
      </c>
      <c r="B23" t="s">
        <v>562</v>
      </c>
      <c r="C23" t="s">
        <v>873</v>
      </c>
      <c r="D23" t="s">
        <v>874</v>
      </c>
      <c r="E23" t="s">
        <v>875</v>
      </c>
      <c r="F23" t="s">
        <v>876</v>
      </c>
      <c r="G23" t="s">
        <v>26</v>
      </c>
    </row>
    <row r="24" spans="1:7">
      <c r="A24" t="s">
        <v>671</v>
      </c>
      <c r="B24" t="s">
        <v>345</v>
      </c>
      <c r="C24" t="s">
        <v>877</v>
      </c>
      <c r="D24" t="s">
        <v>878</v>
      </c>
      <c r="E24" t="s">
        <v>879</v>
      </c>
      <c r="F24" t="s">
        <v>880</v>
      </c>
      <c r="G24" t="s">
        <v>26</v>
      </c>
    </row>
    <row r="25" spans="1:7">
      <c r="A25" t="s">
        <v>881</v>
      </c>
      <c r="B25" t="s">
        <v>34</v>
      </c>
      <c r="C25" t="s">
        <v>882</v>
      </c>
      <c r="D25" t="s">
        <v>883</v>
      </c>
      <c r="E25" t="s">
        <v>884</v>
      </c>
      <c r="F25" t="s">
        <v>885</v>
      </c>
      <c r="G25" t="s">
        <v>20</v>
      </c>
    </row>
    <row r="26" spans="1:7">
      <c r="A26" t="s">
        <v>886</v>
      </c>
      <c r="B26" t="s">
        <v>356</v>
      </c>
      <c r="C26" t="s">
        <v>887</v>
      </c>
      <c r="D26" t="s">
        <v>888</v>
      </c>
      <c r="E26" t="s">
        <v>889</v>
      </c>
      <c r="F26" t="s">
        <v>890</v>
      </c>
      <c r="G26" t="s">
        <v>20</v>
      </c>
    </row>
    <row r="27" spans="1:7">
      <c r="A27" t="s">
        <v>200</v>
      </c>
      <c r="B27" t="s">
        <v>212</v>
      </c>
      <c r="C27" t="s">
        <v>891</v>
      </c>
      <c r="D27" t="s">
        <v>892</v>
      </c>
      <c r="E27" t="s">
        <v>893</v>
      </c>
      <c r="F27" t="s">
        <v>894</v>
      </c>
      <c r="G27" t="s">
        <v>20</v>
      </c>
    </row>
    <row r="28" spans="1:7">
      <c r="A28" t="s">
        <v>184</v>
      </c>
      <c r="B28" t="s">
        <v>895</v>
      </c>
      <c r="C28" t="s">
        <v>896</v>
      </c>
      <c r="D28" t="s">
        <v>897</v>
      </c>
      <c r="E28" t="s">
        <v>898</v>
      </c>
      <c r="F28" t="s">
        <v>899</v>
      </c>
      <c r="G28" t="s">
        <v>26</v>
      </c>
    </row>
    <row r="29" spans="1:7">
      <c r="A29" t="s">
        <v>712</v>
      </c>
      <c r="B29" t="s">
        <v>58</v>
      </c>
      <c r="C29" t="s">
        <v>900</v>
      </c>
      <c r="D29" t="s">
        <v>901</v>
      </c>
      <c r="E29" t="s">
        <v>902</v>
      </c>
      <c r="F29" t="s">
        <v>903</v>
      </c>
      <c r="G29" t="s">
        <v>20</v>
      </c>
    </row>
    <row r="30" spans="1:7">
      <c r="A30" t="s">
        <v>318</v>
      </c>
      <c r="B30" t="s">
        <v>383</v>
      </c>
      <c r="C30" t="s">
        <v>904</v>
      </c>
      <c r="D30" t="s">
        <v>905</v>
      </c>
      <c r="E30" t="s">
        <v>906</v>
      </c>
      <c r="F30" t="s">
        <v>907</v>
      </c>
      <c r="G30" t="s">
        <v>20</v>
      </c>
    </row>
    <row r="31" spans="1:7">
      <c r="A31" t="s">
        <v>908</v>
      </c>
      <c r="B31" t="s">
        <v>140</v>
      </c>
      <c r="C31" t="s">
        <v>909</v>
      </c>
      <c r="D31" t="s">
        <v>910</v>
      </c>
      <c r="E31" t="s">
        <v>911</v>
      </c>
      <c r="F31" t="s">
        <v>912</v>
      </c>
      <c r="G31" t="s">
        <v>26</v>
      </c>
    </row>
    <row r="32" spans="1:7">
      <c r="A32" t="s">
        <v>913</v>
      </c>
      <c r="B32" t="s">
        <v>28</v>
      </c>
      <c r="C32" t="s">
        <v>914</v>
      </c>
      <c r="D32" t="s">
        <v>915</v>
      </c>
      <c r="E32" t="s">
        <v>916</v>
      </c>
      <c r="F32" t="s">
        <v>917</v>
      </c>
      <c r="G32" t="s">
        <v>26</v>
      </c>
    </row>
    <row r="33" spans="1:7">
      <c r="A33" t="s">
        <v>168</v>
      </c>
      <c r="B33" t="s">
        <v>75</v>
      </c>
      <c r="C33" t="s">
        <v>918</v>
      </c>
      <c r="D33" t="s">
        <v>919</v>
      </c>
      <c r="E33" t="s">
        <v>920</v>
      </c>
      <c r="F33" t="s">
        <v>921</v>
      </c>
      <c r="G33" t="s">
        <v>20</v>
      </c>
    </row>
    <row r="34" spans="1:7">
      <c r="A34" t="s">
        <v>922</v>
      </c>
      <c r="B34" t="s">
        <v>467</v>
      </c>
      <c r="C34" t="s">
        <v>923</v>
      </c>
      <c r="D34" t="s">
        <v>924</v>
      </c>
      <c r="E34" t="s">
        <v>925</v>
      </c>
      <c r="F34" t="s">
        <v>926</v>
      </c>
      <c r="G34" t="s">
        <v>20</v>
      </c>
    </row>
    <row r="35" spans="1:7">
      <c r="A35" t="s">
        <v>927</v>
      </c>
      <c r="B35" t="s">
        <v>730</v>
      </c>
      <c r="C35" t="s">
        <v>928</v>
      </c>
      <c r="D35" t="s">
        <v>929</v>
      </c>
      <c r="E35" t="s">
        <v>930</v>
      </c>
      <c r="F35" t="s">
        <v>931</v>
      </c>
      <c r="G35" t="s">
        <v>20</v>
      </c>
    </row>
    <row r="36" spans="1:7">
      <c r="A36" t="s">
        <v>913</v>
      </c>
      <c r="B36" t="s">
        <v>499</v>
      </c>
      <c r="C36" t="s">
        <v>932</v>
      </c>
      <c r="D36" t="s">
        <v>933</v>
      </c>
      <c r="E36" t="s">
        <v>934</v>
      </c>
      <c r="F36" t="s">
        <v>935</v>
      </c>
      <c r="G36" t="s">
        <v>20</v>
      </c>
    </row>
    <row r="37" spans="1:7">
      <c r="A37" t="s">
        <v>344</v>
      </c>
      <c r="B37" t="s">
        <v>362</v>
      </c>
      <c r="C37" t="s">
        <v>936</v>
      </c>
      <c r="D37" t="s">
        <v>937</v>
      </c>
      <c r="E37" t="s">
        <v>938</v>
      </c>
      <c r="F37" t="s">
        <v>939</v>
      </c>
      <c r="G37" t="s">
        <v>26</v>
      </c>
    </row>
    <row r="38" spans="1:7">
      <c r="A38" t="s">
        <v>940</v>
      </c>
      <c r="B38" t="s">
        <v>34</v>
      </c>
      <c r="C38" t="s">
        <v>941</v>
      </c>
      <c r="D38" t="s">
        <v>942</v>
      </c>
      <c r="E38" t="s">
        <v>943</v>
      </c>
      <c r="F38" t="s">
        <v>944</v>
      </c>
      <c r="G38" t="s">
        <v>26</v>
      </c>
    </row>
    <row r="39" spans="1:7">
      <c r="A39" t="s">
        <v>945</v>
      </c>
      <c r="B39" t="s">
        <v>432</v>
      </c>
      <c r="C39" t="s">
        <v>946</v>
      </c>
      <c r="D39" t="s">
        <v>947</v>
      </c>
      <c r="E39" t="s">
        <v>948</v>
      </c>
      <c r="F39" t="s">
        <v>949</v>
      </c>
      <c r="G39" t="s">
        <v>20</v>
      </c>
    </row>
    <row r="40" spans="1:7">
      <c r="A40" t="s">
        <v>551</v>
      </c>
      <c r="B40" t="s">
        <v>146</v>
      </c>
      <c r="C40" t="s">
        <v>950</v>
      </c>
      <c r="D40" t="s">
        <v>951</v>
      </c>
      <c r="E40" t="s">
        <v>952</v>
      </c>
      <c r="F40" t="s">
        <v>953</v>
      </c>
      <c r="G40" t="s">
        <v>26</v>
      </c>
    </row>
    <row r="41" spans="1:7">
      <c r="A41" t="s">
        <v>222</v>
      </c>
      <c r="B41" t="s">
        <v>146</v>
      </c>
      <c r="C41" t="s">
        <v>954</v>
      </c>
      <c r="D41" t="s">
        <v>955</v>
      </c>
      <c r="E41" t="s">
        <v>956</v>
      </c>
      <c r="F41" t="s">
        <v>957</v>
      </c>
      <c r="G41" t="s">
        <v>20</v>
      </c>
    </row>
    <row r="42" spans="1:7">
      <c r="A42" t="s">
        <v>854</v>
      </c>
      <c r="B42" t="s">
        <v>394</v>
      </c>
      <c r="C42" t="s">
        <v>958</v>
      </c>
      <c r="D42" t="s">
        <v>959</v>
      </c>
      <c r="E42" t="s">
        <v>960</v>
      </c>
      <c r="F42" t="s">
        <v>961</v>
      </c>
      <c r="G42" t="s">
        <v>20</v>
      </c>
    </row>
    <row r="43" spans="1:7">
      <c r="A43" t="s">
        <v>962</v>
      </c>
      <c r="B43" t="s">
        <v>752</v>
      </c>
      <c r="C43" t="s">
        <v>963</v>
      </c>
      <c r="D43" t="s">
        <v>964</v>
      </c>
      <c r="E43" t="s">
        <v>965</v>
      </c>
      <c r="F43" t="s">
        <v>966</v>
      </c>
      <c r="G43" t="s">
        <v>26</v>
      </c>
    </row>
    <row r="44" spans="1:7">
      <c r="A44" t="s">
        <v>766</v>
      </c>
      <c r="B44" t="s">
        <v>362</v>
      </c>
      <c r="C44" t="s">
        <v>967</v>
      </c>
      <c r="D44" t="s">
        <v>968</v>
      </c>
      <c r="E44" t="s">
        <v>969</v>
      </c>
      <c r="F44" t="s">
        <v>970</v>
      </c>
      <c r="G44" t="s">
        <v>20</v>
      </c>
    </row>
    <row r="45" spans="1:7">
      <c r="A45" t="s">
        <v>69</v>
      </c>
      <c r="B45" t="s">
        <v>40</v>
      </c>
      <c r="C45" t="s">
        <v>971</v>
      </c>
      <c r="D45" t="s">
        <v>972</v>
      </c>
      <c r="E45" t="s">
        <v>973</v>
      </c>
      <c r="F45" t="s">
        <v>974</v>
      </c>
      <c r="G45" t="s">
        <v>26</v>
      </c>
    </row>
    <row r="46" spans="1:7">
      <c r="A46" t="s">
        <v>975</v>
      </c>
      <c r="B46" t="s">
        <v>409</v>
      </c>
      <c r="C46" t="s">
        <v>976</v>
      </c>
      <c r="D46" t="s">
        <v>977</v>
      </c>
      <c r="E46" t="s">
        <v>978</v>
      </c>
      <c r="F46" t="s">
        <v>979</v>
      </c>
      <c r="G46" t="s">
        <v>20</v>
      </c>
    </row>
    <row r="47" spans="1:7">
      <c r="A47" t="s">
        <v>980</v>
      </c>
      <c r="B47" t="s">
        <v>534</v>
      </c>
      <c r="C47" t="s">
        <v>981</v>
      </c>
      <c r="D47" t="s">
        <v>982</v>
      </c>
      <c r="E47" t="s">
        <v>983</v>
      </c>
      <c r="F47" t="s">
        <v>984</v>
      </c>
      <c r="G47" t="s">
        <v>20</v>
      </c>
    </row>
    <row r="48" spans="1:7">
      <c r="A48" t="s">
        <v>508</v>
      </c>
      <c r="B48" t="s">
        <v>394</v>
      </c>
      <c r="C48" t="s">
        <v>985</v>
      </c>
      <c r="D48" t="s">
        <v>986</v>
      </c>
      <c r="E48" t="s">
        <v>987</v>
      </c>
      <c r="F48" t="s">
        <v>988</v>
      </c>
      <c r="G48" t="s">
        <v>26</v>
      </c>
    </row>
    <row r="49" spans="1:7">
      <c r="A49" t="s">
        <v>989</v>
      </c>
      <c r="B49" t="s">
        <v>350</v>
      </c>
      <c r="C49" t="s">
        <v>990</v>
      </c>
      <c r="D49" t="s">
        <v>991</v>
      </c>
      <c r="E49" t="s">
        <v>992</v>
      </c>
      <c r="F49" t="s">
        <v>993</v>
      </c>
      <c r="G49" t="s">
        <v>26</v>
      </c>
    </row>
    <row r="50" spans="1:7">
      <c r="A50" t="s">
        <v>994</v>
      </c>
      <c r="B50" t="s">
        <v>995</v>
      </c>
      <c r="C50" t="s">
        <v>996</v>
      </c>
      <c r="D50" t="s">
        <v>997</v>
      </c>
      <c r="E50" t="s">
        <v>998</v>
      </c>
      <c r="F50" t="s">
        <v>999</v>
      </c>
      <c r="G50" t="s">
        <v>26</v>
      </c>
    </row>
    <row r="51" spans="1:7">
      <c r="A51" t="s">
        <v>498</v>
      </c>
      <c r="B51" t="s">
        <v>725</v>
      </c>
      <c r="C51" t="s">
        <v>1000</v>
      </c>
      <c r="D51" t="s">
        <v>1001</v>
      </c>
      <c r="E51" t="s">
        <v>1002</v>
      </c>
      <c r="F51" t="s">
        <v>1003</v>
      </c>
      <c r="G51" t="s">
        <v>20</v>
      </c>
    </row>
    <row r="52" spans="1:7">
      <c r="A52" t="s">
        <v>1004</v>
      </c>
      <c r="B52" t="s">
        <v>90</v>
      </c>
      <c r="C52" t="s">
        <v>1005</v>
      </c>
      <c r="D52" t="s">
        <v>1006</v>
      </c>
      <c r="E52" t="s">
        <v>1007</v>
      </c>
      <c r="F52" t="s">
        <v>1008</v>
      </c>
      <c r="G52" t="s">
        <v>20</v>
      </c>
    </row>
    <row r="53" spans="1:7">
      <c r="A53" t="s">
        <v>571</v>
      </c>
      <c r="B53" t="s">
        <v>134</v>
      </c>
      <c r="C53" t="s">
        <v>1009</v>
      </c>
      <c r="D53" t="s">
        <v>1010</v>
      </c>
      <c r="E53" t="s">
        <v>1011</v>
      </c>
      <c r="F53" t="s">
        <v>1012</v>
      </c>
      <c r="G53" t="s">
        <v>26</v>
      </c>
    </row>
    <row r="54" spans="1:7">
      <c r="A54" t="s">
        <v>940</v>
      </c>
      <c r="B54" t="s">
        <v>467</v>
      </c>
      <c r="C54" t="s">
        <v>1013</v>
      </c>
      <c r="D54" t="s">
        <v>1014</v>
      </c>
      <c r="E54" t="s">
        <v>1015</v>
      </c>
      <c r="F54" t="s">
        <v>1016</v>
      </c>
      <c r="G54" t="s">
        <v>26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0200-0332-41D8-AE5D-63187A9E4B0E}">
  <dimension ref="A1:D9"/>
  <sheetViews>
    <sheetView workbookViewId="0">
      <selection activeCell="H18" sqref="H18"/>
    </sheetView>
  </sheetViews>
  <sheetFormatPr defaultRowHeight="15"/>
  <cols>
    <col min="1" max="1" width="22" bestFit="1" customWidth="1"/>
    <col min="2" max="2" width="16.140625" bestFit="1" customWidth="1"/>
    <col min="3" max="3" width="17.5703125" bestFit="1" customWidth="1"/>
    <col min="4" max="4" width="16.7109375" bestFit="1" customWidth="1"/>
  </cols>
  <sheetData>
    <row r="1" spans="1:4">
      <c r="A1" s="12" t="s">
        <v>1017</v>
      </c>
      <c r="B1" s="8" t="s">
        <v>2</v>
      </c>
      <c r="C1" s="8" t="s">
        <v>1018</v>
      </c>
      <c r="D1" s="8" t="s">
        <v>1019</v>
      </c>
    </row>
    <row r="2" spans="1:4">
      <c r="A2" s="10" t="s">
        <v>1</v>
      </c>
      <c r="B2" s="11">
        <v>50</v>
      </c>
      <c r="C2" s="9">
        <v>30</v>
      </c>
      <c r="D2" s="9">
        <v>20</v>
      </c>
    </row>
    <row r="3" spans="1:4">
      <c r="A3" s="10" t="s">
        <v>292</v>
      </c>
      <c r="B3" s="11">
        <v>50</v>
      </c>
      <c r="C3" s="9">
        <v>28</v>
      </c>
      <c r="D3" s="9">
        <v>22</v>
      </c>
    </row>
    <row r="4" spans="1:4">
      <c r="A4" s="10" t="s">
        <v>548</v>
      </c>
      <c r="B4" s="11">
        <v>50</v>
      </c>
      <c r="C4" s="9">
        <v>25</v>
      </c>
      <c r="D4" s="9">
        <v>25</v>
      </c>
    </row>
    <row r="5" spans="1:4">
      <c r="A5" s="10" t="s">
        <v>789</v>
      </c>
      <c r="B5" s="11">
        <v>50</v>
      </c>
      <c r="C5" s="9">
        <v>22</v>
      </c>
      <c r="D5" s="9">
        <v>28</v>
      </c>
    </row>
    <row r="6" spans="1:4">
      <c r="A6" s="13" t="s">
        <v>1020</v>
      </c>
      <c r="B6" s="14">
        <f>SUM(B2:B5)</f>
        <v>200</v>
      </c>
      <c r="C6" s="15">
        <f>SUM(Tabela15[Dados Expostos])</f>
        <v>105</v>
      </c>
      <c r="D6" s="15">
        <f>SUM(Tabela15[Dados Seguros])</f>
        <v>95</v>
      </c>
    </row>
    <row r="8" spans="1:4">
      <c r="C8" s="16" t="s">
        <v>1018</v>
      </c>
      <c r="D8" s="18" t="s">
        <v>1019</v>
      </c>
    </row>
    <row r="9" spans="1:4">
      <c r="C9" s="17">
        <v>105</v>
      </c>
      <c r="D9" s="19">
        <v>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094F-2783-4B62-B33A-290F242EE80F}">
  <dimension ref="A1:C6"/>
  <sheetViews>
    <sheetView workbookViewId="0">
      <selection activeCell="D5" sqref="D5"/>
    </sheetView>
  </sheetViews>
  <sheetFormatPr defaultRowHeight="15"/>
  <cols>
    <col min="1" max="1" width="103.7109375" bestFit="1" customWidth="1"/>
    <col min="2" max="2" width="10.7109375" bestFit="1" customWidth="1"/>
  </cols>
  <sheetData>
    <row r="1" spans="1:3">
      <c r="A1" t="s">
        <v>1021</v>
      </c>
      <c r="B1" s="5" t="s">
        <v>1020</v>
      </c>
      <c r="C1" s="5" t="s">
        <v>26</v>
      </c>
    </row>
    <row r="2" spans="1:3">
      <c r="A2" t="s">
        <v>1022</v>
      </c>
      <c r="B2" s="4">
        <v>30</v>
      </c>
      <c r="C2" s="4">
        <v>20</v>
      </c>
    </row>
    <row r="3" spans="1:3">
      <c r="A3" t="s">
        <v>1023</v>
      </c>
      <c r="B3" s="4">
        <v>28</v>
      </c>
      <c r="C3" s="4">
        <v>22</v>
      </c>
    </row>
    <row r="4" spans="1:3">
      <c r="A4" t="s">
        <v>1024</v>
      </c>
      <c r="B4" s="4">
        <v>25</v>
      </c>
      <c r="C4" s="4">
        <v>25</v>
      </c>
    </row>
    <row r="5" spans="1:3">
      <c r="A5" t="s">
        <v>1025</v>
      </c>
      <c r="B5" s="4">
        <v>22</v>
      </c>
      <c r="C5" s="4">
        <v>28</v>
      </c>
    </row>
    <row r="6" spans="1:3">
      <c r="A6" t="s">
        <v>1026</v>
      </c>
      <c r="B6" s="4">
        <f>SUBTOTAL(109,B2:B5)</f>
        <v>105</v>
      </c>
      <c r="C6" s="4">
        <f>SUM(C2:C5)</f>
        <v>95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243098-3465-4da2-99e0-cce3aee4d8d2">
      <Terms xmlns="http://schemas.microsoft.com/office/infopath/2007/PartnerControls"/>
    </lcf76f155ced4ddcb4097134ff3c332f>
    <TaxCatchAll xmlns="ebc0ba33-7770-47df-9c54-3ce547b7d9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8DC702BC88443B2C4386E87104C10" ma:contentTypeVersion="11" ma:contentTypeDescription="Create a new document." ma:contentTypeScope="" ma:versionID="2b255c9082bd805d1b1a56c3a0abf551">
  <xsd:schema xmlns:xsd="http://www.w3.org/2001/XMLSchema" xmlns:xs="http://www.w3.org/2001/XMLSchema" xmlns:p="http://schemas.microsoft.com/office/2006/metadata/properties" xmlns:ns2="79243098-3465-4da2-99e0-cce3aee4d8d2" xmlns:ns3="ebc0ba33-7770-47df-9c54-3ce547b7d9af" targetNamespace="http://schemas.microsoft.com/office/2006/metadata/properties" ma:root="true" ma:fieldsID="c721825f8b0e95bcd9c642a94babc051" ns2:_="" ns3:_="">
    <xsd:import namespace="79243098-3465-4da2-99e0-cce3aee4d8d2"/>
    <xsd:import namespace="ebc0ba33-7770-47df-9c54-3ce547b7d9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43098-3465-4da2-99e0-cce3aee4d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741b29-adf1-4987-a402-98407fcd8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0ba33-7770-47df-9c54-3ce547b7d9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1792a0-bdf3-45a5-a3c9-f53e724733c1}" ma:internalName="TaxCatchAll" ma:showField="CatchAllData" ma:web="ebc0ba33-7770-47df-9c54-3ce547b7d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43F339-BFA7-45B8-A30D-BD83EE49EFD7}"/>
</file>

<file path=customXml/itemProps2.xml><?xml version="1.0" encoding="utf-8"?>
<ds:datastoreItem xmlns:ds="http://schemas.openxmlformats.org/officeDocument/2006/customXml" ds:itemID="{EBBB833C-3FBA-4160-92F6-30E3A3A0E617}"/>
</file>

<file path=customXml/itemProps3.xml><?xml version="1.0" encoding="utf-8"?>
<ds:datastoreItem xmlns:ds="http://schemas.openxmlformats.org/officeDocument/2006/customXml" ds:itemID="{00E061F0-04E6-4B1D-931F-FB02DB464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Gabriela Veiga Souto BE</cp:lastModifiedBy>
  <cp:revision/>
  <dcterms:created xsi:type="dcterms:W3CDTF">2025-12-15T14:16:04Z</dcterms:created>
  <dcterms:modified xsi:type="dcterms:W3CDTF">2025-12-16T12:04:06Z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0x010100CF78DC702BC88443B2C4386E87104C10</vt:lpwstr>
  </property>
  <property fmtid="{D5CDD505-2E9C-101B-9397-08002B2CF9AE}" pid="3" name="MediaServiceImageTags">
    <vt:lpwstr/>
  </property>
</Properties>
</file>